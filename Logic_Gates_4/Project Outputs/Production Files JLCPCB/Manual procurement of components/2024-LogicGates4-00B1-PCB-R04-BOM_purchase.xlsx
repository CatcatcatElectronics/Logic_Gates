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_Altium\Pr_2026\_GITHAB\Logic_Gates\_6_Project\Logic_Gates_4\Project Outputs\Production Files JLCPCB\Manual procurement of components\"/>
    </mc:Choice>
  </mc:AlternateContent>
  <xr:revisionPtr revIDLastSave="0" documentId="8_{B13D0594-E633-46CA-A963-CC1855C72342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BOM Report" sheetId="1" r:id="rId1"/>
    <sheet name="Project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2" i="1" l="1"/>
  <c r="K52" i="1"/>
  <c r="G52" i="1"/>
  <c r="M51" i="1"/>
  <c r="K51" i="1"/>
  <c r="G51" i="1"/>
  <c r="M50" i="1"/>
  <c r="K50" i="1"/>
  <c r="G50" i="1"/>
  <c r="M49" i="1"/>
  <c r="K49" i="1"/>
  <c r="G49" i="1"/>
  <c r="M48" i="1"/>
  <c r="K48" i="1"/>
  <c r="G48" i="1"/>
  <c r="M47" i="1"/>
  <c r="K47" i="1"/>
  <c r="G47" i="1"/>
  <c r="M46" i="1"/>
  <c r="K46" i="1"/>
  <c r="G46" i="1"/>
  <c r="M45" i="1"/>
  <c r="K45" i="1"/>
  <c r="G45" i="1"/>
  <c r="M44" i="1"/>
  <c r="K44" i="1"/>
  <c r="G44" i="1"/>
  <c r="M43" i="1"/>
  <c r="K43" i="1"/>
  <c r="G43" i="1"/>
  <c r="M42" i="1"/>
  <c r="K42" i="1"/>
  <c r="G42" i="1"/>
  <c r="M41" i="1"/>
  <c r="K41" i="1"/>
  <c r="G41" i="1"/>
  <c r="M40" i="1"/>
  <c r="K40" i="1"/>
  <c r="G40" i="1"/>
  <c r="M39" i="1"/>
  <c r="K39" i="1"/>
  <c r="G39" i="1"/>
  <c r="M38" i="1"/>
  <c r="K38" i="1"/>
  <c r="G38" i="1"/>
  <c r="M37" i="1"/>
  <c r="K37" i="1"/>
  <c r="G37" i="1"/>
  <c r="M36" i="1"/>
  <c r="K36" i="1"/>
  <c r="G36" i="1"/>
  <c r="M35" i="1"/>
  <c r="K35" i="1"/>
  <c r="G35" i="1"/>
  <c r="M34" i="1"/>
  <c r="K34" i="1"/>
  <c r="G34" i="1"/>
  <c r="M33" i="1"/>
  <c r="K33" i="1"/>
  <c r="G33" i="1"/>
  <c r="M32" i="1"/>
  <c r="K32" i="1"/>
  <c r="G32" i="1"/>
  <c r="M31" i="1"/>
  <c r="K31" i="1"/>
  <c r="G31" i="1"/>
  <c r="M30" i="1"/>
  <c r="K30" i="1"/>
  <c r="G30" i="1"/>
  <c r="M29" i="1"/>
  <c r="K29" i="1"/>
  <c r="G29" i="1"/>
  <c r="M28" i="1"/>
  <c r="K28" i="1"/>
  <c r="G28" i="1"/>
  <c r="M27" i="1"/>
  <c r="K27" i="1"/>
  <c r="G27" i="1"/>
  <c r="M26" i="1"/>
  <c r="K26" i="1"/>
  <c r="G26" i="1"/>
  <c r="M25" i="1"/>
  <c r="K25" i="1"/>
  <c r="G25" i="1"/>
  <c r="M24" i="1"/>
  <c r="K24" i="1"/>
  <c r="G24" i="1"/>
  <c r="M23" i="1"/>
  <c r="K23" i="1"/>
  <c r="G23" i="1"/>
  <c r="M22" i="1"/>
  <c r="K22" i="1"/>
  <c r="G22" i="1"/>
  <c r="M21" i="1"/>
  <c r="K21" i="1"/>
  <c r="G21" i="1"/>
  <c r="M20" i="1"/>
  <c r="K20" i="1"/>
  <c r="G20" i="1"/>
  <c r="M19" i="1"/>
  <c r="K19" i="1"/>
  <c r="G19" i="1"/>
  <c r="M18" i="1"/>
  <c r="K18" i="1"/>
  <c r="G18" i="1"/>
  <c r="M17" i="1"/>
  <c r="K17" i="1"/>
  <c r="G17" i="1"/>
  <c r="M16" i="1"/>
  <c r="K16" i="1"/>
  <c r="G16" i="1"/>
  <c r="G15" i="1"/>
  <c r="G14" i="1"/>
  <c r="J53" i="1"/>
  <c r="G53" i="1" l="1"/>
  <c r="K15" i="1"/>
  <c r="K14" i="1"/>
  <c r="M15" i="1"/>
  <c r="M14" i="1"/>
  <c r="F53" i="1"/>
  <c r="C8" i="1"/>
  <c r="B8" i="1"/>
  <c r="K53" i="1" l="1"/>
</calcChain>
</file>

<file path=xl/sharedStrings.xml><?xml version="1.0" encoding="utf-8"?>
<sst xmlns="http://schemas.openxmlformats.org/spreadsheetml/2006/main" count="531" uniqueCount="364">
  <si>
    <t>Approved</t>
  </si>
  <si>
    <t>Notes</t>
  </si>
  <si>
    <t>Creation Date:</t>
  </si>
  <si>
    <t>Print Date:</t>
  </si>
  <si>
    <t xml:space="preserve"> </t>
  </si>
  <si>
    <t>Source Data From:</t>
  </si>
  <si>
    <t>Variant: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</si>
  <si>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</si>
  <si>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</si>
  <si>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</si>
  <si>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</si>
  <si>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</si>
  <si>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</si>
  <si>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</si>
  <si>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</si>
  <si>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</si>
  <si>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</si>
  <si>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</si>
  <si>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</si>
  <si>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</si>
  <si>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</si>
  <si>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Project:</t>
  </si>
  <si>
    <t>Bill of Materials</t>
  </si>
  <si>
    <t>Production Quantity:</t>
  </si>
  <si>
    <t>Currency</t>
  </si>
  <si>
    <t>Catcatcat Electronics</t>
  </si>
  <si>
    <t>Supplier URL</t>
  </si>
  <si>
    <t>Sum</t>
  </si>
  <si>
    <t>Engineer</t>
  </si>
  <si>
    <t>Customer</t>
  </si>
  <si>
    <t>Quantity</t>
  </si>
  <si>
    <t>V3.0 (2024/03/05)</t>
  </si>
  <si>
    <t>BOM Manual assembly for Project [Logic_Gates_4.PrjPcb] (PCB Document : PCB.PcbDoc)</t>
  </si>
  <si>
    <t>Logic_Gates_4.PrjPcb</t>
  </si>
  <si>
    <t>None</t>
  </si>
  <si>
    <t>Sat, 1, 11, 25</t>
  </si>
  <si>
    <t>10:14</t>
  </si>
  <si>
    <t>1</t>
  </si>
  <si>
    <t>USD</t>
  </si>
  <si>
    <t>Case/Package</t>
  </si>
  <si>
    <t>0603</t>
  </si>
  <si>
    <t>CASE-B_3528</t>
  </si>
  <si>
    <t>0402</t>
  </si>
  <si>
    <t>UQFN3030-12</t>
  </si>
  <si>
    <t>SOT-23</t>
  </si>
  <si>
    <t>5-TSSOP, SC-70-5, SOT-353</t>
  </si>
  <si>
    <t>SSOP-28-208mil</t>
  </si>
  <si>
    <t>SMD</t>
  </si>
  <si>
    <t>SMD,9x11mm</t>
  </si>
  <si>
    <t>SOT-23-3L</t>
  </si>
  <si>
    <t>SMD-M2.5x5.56xLxx+1.53</t>
  </si>
  <si>
    <t>TQFN-16-EP(3x3)</t>
  </si>
  <si>
    <t>Comment</t>
  </si>
  <si>
    <t>100 nF ±10% 50V</t>
  </si>
  <si>
    <t>10 nF ±10% 50V</t>
  </si>
  <si>
    <t>100UF 6.3V CASE-B_3528</t>
  </si>
  <si>
    <t>1uF ±10% 50V 0603</t>
  </si>
  <si>
    <t>2.2uF ±10% 16V 0603</t>
  </si>
  <si>
    <t>220 pF ±10%</t>
  </si>
  <si>
    <t>10 uF 6.3V ±10%</t>
  </si>
  <si>
    <t>100nF 50V ±10% 0402</t>
  </si>
  <si>
    <t>0.22 uF ±10%</t>
  </si>
  <si>
    <t>PAM8904JPR</t>
  </si>
  <si>
    <t>BAV70</t>
  </si>
  <si>
    <t>GZ1608D601TF</t>
  </si>
  <si>
    <t>KT-0603R</t>
  </si>
  <si>
    <t>LED 0603 Yellow 120° 60mW</t>
  </si>
  <si>
    <t>74AHC1G04GW,125</t>
  </si>
  <si>
    <t>PIC18F27Q84-I/SS</t>
  </si>
  <si>
    <t>Z3OC1T8219731</t>
  </si>
  <si>
    <t>KLJ-1102</t>
  </si>
  <si>
    <t>2N7002</t>
  </si>
  <si>
    <t>AO3401A</t>
  </si>
  <si>
    <t>10K ±1% 0603</t>
  </si>
  <si>
    <t>1K ±1% 0603</t>
  </si>
  <si>
    <t>33R ±1% 0603</t>
  </si>
  <si>
    <t>22R ±1% 0603</t>
  </si>
  <si>
    <t>2.2K ±1% 0603</t>
  </si>
  <si>
    <t>4.7R ±1% 0603</t>
  </si>
  <si>
    <t>100K ±1%</t>
  </si>
  <si>
    <t>330 R ±1%</t>
  </si>
  <si>
    <t>0R ±1% 0603</t>
  </si>
  <si>
    <t>4.7K ±1% 0402</t>
  </si>
  <si>
    <t>10K ±1% 0402 50V</t>
  </si>
  <si>
    <t>220 K ±1%</t>
  </si>
  <si>
    <t>10R ±1% 0603</t>
  </si>
  <si>
    <t>XC6206P332MR</t>
  </si>
  <si>
    <t>SMTSO2570CTJ</t>
  </si>
  <si>
    <t>CH343P</t>
  </si>
  <si>
    <t>GT-USB-7055E</t>
  </si>
  <si>
    <t>SK6812MINI-EA</t>
  </si>
  <si>
    <t>PL2N-05n</t>
  </si>
  <si>
    <t>LibRef</t>
  </si>
  <si>
    <t>0603 0.1 uF (B)</t>
  </si>
  <si>
    <t>0603 0.01 uF (B)</t>
  </si>
  <si>
    <t>TANTAL-B 100uF 6.3V (B)</t>
  </si>
  <si>
    <t>0603 1.0 uF 50V (B)</t>
  </si>
  <si>
    <t>0603 2.2 uF 16V (B)</t>
  </si>
  <si>
    <t>0603 0.000220 uF (B)</t>
  </si>
  <si>
    <t>0402 10 uF 6.3V (B)</t>
  </si>
  <si>
    <t>0402 0.1 uF 50V (B)</t>
  </si>
  <si>
    <t>0603 0.22 uF 25V (B)</t>
  </si>
  <si>
    <t>PAM8904JPR (E)</t>
  </si>
  <si>
    <t>BAV70 (B)</t>
  </si>
  <si>
    <t>0603 GZ1608D601TF (B)</t>
  </si>
  <si>
    <t>KT-0603R (B)</t>
  </si>
  <si>
    <t>19-213/Y2C-CQ2R2L/3T(CY) (B)</t>
  </si>
  <si>
    <t>74AHC1G04GW,125 (E)</t>
  </si>
  <si>
    <t>PIC18F27Q84-I/SS (E)</t>
  </si>
  <si>
    <t>Z3OC1T8219731 (E)</t>
  </si>
  <si>
    <t>KLJ-1102 (E)</t>
  </si>
  <si>
    <t>2N7002 (B)</t>
  </si>
  <si>
    <t>AO3401A (B)</t>
  </si>
  <si>
    <t>0603 10 kOhm ±1% (B)</t>
  </si>
  <si>
    <t>0603 1 kOhm ±1% (B)</t>
  </si>
  <si>
    <t>0603 33 Ohm ±1% (B)</t>
  </si>
  <si>
    <t>0603 22 Ohm ±1% (B)</t>
  </si>
  <si>
    <t>0603 2.2 kOhm ±1% (B)</t>
  </si>
  <si>
    <t>0603 4.7 Ohm ±1% (B)</t>
  </si>
  <si>
    <t>0603 100 kOhm ±1% (B)</t>
  </si>
  <si>
    <t>0603 330 Ohm ±1% (B)</t>
  </si>
  <si>
    <t>0603 0 Ohm ±1% (B)</t>
  </si>
  <si>
    <t>0402 4.7 kOhm ±1% (B)</t>
  </si>
  <si>
    <t>0402 10 kOhm ±1% (B)</t>
  </si>
  <si>
    <t>0603 220 kOhm ±1% (B)</t>
  </si>
  <si>
    <t>0603 10 Ohm ±1% (B)</t>
  </si>
  <si>
    <t>XC6206P332MR (B)</t>
  </si>
  <si>
    <t>Round Nut M2.5xL7.0S (E)</t>
  </si>
  <si>
    <t>CH343P (E)</t>
  </si>
  <si>
    <t>GT-USB-7055E (E)</t>
  </si>
  <si>
    <t>SK6812MINI-EA (E)</t>
  </si>
  <si>
    <t>Designator</t>
  </si>
  <si>
    <t>C1, C3, C4, C6, C7, C10, C12, C13, C14, C15, C24, C25, C26, C27, C28, C29, C30, C31, C32, C33, C34, C35, C36, C37, C38, C39, C40, C41, C42, C43, C47</t>
  </si>
  <si>
    <t>C2</t>
  </si>
  <si>
    <t>C5, C18, C19, C20, C21, C22</t>
  </si>
  <si>
    <t>C8, C11, C16, C17</t>
  </si>
  <si>
    <t>C9</t>
  </si>
  <si>
    <t>C23</t>
  </si>
  <si>
    <t>C44</t>
  </si>
  <si>
    <t>C45, C48</t>
  </si>
  <si>
    <t>C46</t>
  </si>
  <si>
    <t>DIR1</t>
  </si>
  <si>
    <t>Ds1</t>
  </si>
  <si>
    <t>FB1, FB2, FB3, FB4</t>
  </si>
  <si>
    <t>LD1, LD3, LD4</t>
  </si>
  <si>
    <t>LD2, LD5</t>
  </si>
  <si>
    <t>LL1</t>
  </si>
  <si>
    <t>MCU1</t>
  </si>
  <si>
    <t>MM1</t>
  </si>
  <si>
    <t>PBZ1</t>
  </si>
  <si>
    <t>Qn1</t>
  </si>
  <si>
    <t>Qp1, Qp2</t>
  </si>
  <si>
    <t>R1, R6</t>
  </si>
  <si>
    <t>R2, R4, R5, R7, R8, R9, R12, R13, R16, R17, R18, R19</t>
  </si>
  <si>
    <t>R3</t>
  </si>
  <si>
    <t>R10, R11</t>
  </si>
  <si>
    <t>R14, R15, R26, R30</t>
  </si>
  <si>
    <t>R20</t>
  </si>
  <si>
    <t>R21</t>
  </si>
  <si>
    <t>R22, R31</t>
  </si>
  <si>
    <t>R23, R25</t>
  </si>
  <si>
    <t>R24</t>
  </si>
  <si>
    <t>R27</t>
  </si>
  <si>
    <t>R28</t>
  </si>
  <si>
    <t>R29</t>
  </si>
  <si>
    <t>RE1</t>
  </si>
  <si>
    <t>RN1, RN2, RN3, RN4, RN5, RN6</t>
  </si>
  <si>
    <t>Ubr1</t>
  </si>
  <si>
    <t>USBc1</t>
  </si>
  <si>
    <t>WS1, WS2, WS3, WS4, WS5, WS6, WS7, WS8, WS9, WS10, WS11, WS12, WS13, WS14, WS15, WS16, WS17, WS18, WS19, WS20</t>
  </si>
  <si>
    <t>X1</t>
  </si>
  <si>
    <t>Description</t>
  </si>
  <si>
    <t>100 nF ±10% 50V X7R</t>
  </si>
  <si>
    <t>10 nF ±10% 50V X7R</t>
  </si>
  <si>
    <t>Tantalum Capacitors 100uF 6.3V CASE-B_3528 RoHS</t>
  </si>
  <si>
    <t>1.0 uF ±10% 50V X5R</t>
  </si>
  <si>
    <t>2.2 uF ±10% 16V X5R</t>
  </si>
  <si>
    <t>220 pF ±10% 50V X7R</t>
  </si>
  <si>
    <t>10 uF ±10% 6.3V X7R</t>
  </si>
  <si>
    <t>220 nF ±10% 25V X7R</t>
  </si>
  <si>
    <t>PIEZO SOUNDER DRIVER 18VPP OUTPUT</t>
  </si>
  <si>
    <t>Switching SOT-23, 200 mA 70 V</t>
  </si>
  <si>
    <t>0.20A 600 Ohm @100MHz 450 mOhm</t>
  </si>
  <si>
    <t>0603 Red 520~625NM 90~100MCD@20MA Top View RoHS</t>
  </si>
  <si>
    <t>0603 Yellow Colorless transparence -40℃~+85℃ 585.5nm~591.5nm yellow 120° 60mW 0603  Light Emitting Diodes (LED) ROHS</t>
  </si>
  <si>
    <t>IC INVERTER 1CH 1-INP 5TSSOP</t>
  </si>
  <si>
    <t>SSOP-28, 128KB 1.8V~5.5V PIC 64MHz 25 SSOP-28-208mil Microcontroller Units (MCUs/MPUs/SOCs) ROHS</t>
  </si>
  <si>
    <t>DC Motor Vibration, ROHS</t>
  </si>
  <si>
    <t>Piezoelectric buzzer, Externally Driven 70dB@5V,10cm Externally Driven SMD,9x11mm  Buzzers ROHS</t>
  </si>
  <si>
    <t>N-Channel SOT-23 60V 115mA 200mW 7.5Ω@10V,500mA 2.5V@250uA  SOT-23(SOT-23-3)  MOSFETs ROHS</t>
  </si>
  <si>
    <t>P-Channel SOT-23-3L 30V 4A 44mΩ@10V,4.3A 1.4W 1.3V@250uAl SOT-23-3L  MOSFETs ROHS</t>
  </si>
  <si>
    <t>10 k (103) ±1% 1/10W</t>
  </si>
  <si>
    <t>1 k (01B) ±1% 1/10W</t>
  </si>
  <si>
    <t>33 R (330) ±1% 1/10W 50V</t>
  </si>
  <si>
    <t>22 R (220) ±1% 1/10W 50V</t>
  </si>
  <si>
    <t>2.2 k (222) ±1% 1/10W 50V</t>
  </si>
  <si>
    <t>4.7 R (4R7) ±1% 1/10W 75V</t>
  </si>
  <si>
    <t>100 k (104) ±1% 1/10W 50V</t>
  </si>
  <si>
    <t>330 R (331) ±5% 1/10W 50V</t>
  </si>
  <si>
    <t>0 R (000) ±5% 1/10W 50V</t>
  </si>
  <si>
    <t>4.7 k (4701)±1% 1/16W 50V</t>
  </si>
  <si>
    <t>10 k ±1% 1/16W 50V</t>
  </si>
  <si>
    <t>220 k (224) ±5% 1/10W 50V</t>
  </si>
  <si>
    <t>10 R (XIO) ±1% 1/10W 50V ±400ppm/°C</t>
  </si>
  <si>
    <t>LDO 5.0V 3.3V 200mA Fixed 3.3V~3.3V Positive 6V SOT-23-3L  Linear Voltage Regulators (LDO) ROHS</t>
  </si>
  <si>
    <t>Nuts Tinning Copper, M2.5 Round Nut L7.0mm</t>
  </si>
  <si>
    <t>USB Bridge, USB 2.0 Transceiver 2Mbps TQFN-16-EP(3x3)</t>
  </si>
  <si>
    <t>Type C V USB 2.0 5A 1 Brick nogging 16P Female -40℃~+85℃ Gold High Conductivity Copper Type-C SMD  USB Connectors ROHS</t>
  </si>
  <si>
    <t>TTB 12mA 5.2V -40℃~+80℃ RGB LEDs(Built-in IC)</t>
  </si>
  <si>
    <t>2.0 mm</t>
  </si>
  <si>
    <t>Supplier 1</t>
  </si>
  <si>
    <t>LCSC</t>
  </si>
  <si>
    <t>Supplier Part Number 1</t>
  </si>
  <si>
    <t>C14663</t>
  </si>
  <si>
    <t>C57112</t>
  </si>
  <si>
    <t>C16133</t>
  </si>
  <si>
    <t>C15849</t>
  </si>
  <si>
    <t>C23630</t>
  </si>
  <si>
    <t>C1603</t>
  </si>
  <si>
    <t>C15525</t>
  </si>
  <si>
    <t>C307331</t>
  </si>
  <si>
    <t>C21120</t>
  </si>
  <si>
    <t>C780875</t>
  </si>
  <si>
    <t>C68978</t>
  </si>
  <si>
    <t>C1002</t>
  </si>
  <si>
    <t>C2286</t>
  </si>
  <si>
    <t>C72038</t>
  </si>
  <si>
    <t>C148197</t>
  </si>
  <si>
    <t>C2987163</t>
  </si>
  <si>
    <t>C2894731</t>
  </si>
  <si>
    <t>C201047</t>
  </si>
  <si>
    <t>C8545</t>
  </si>
  <si>
    <t>C15127</t>
  </si>
  <si>
    <t>C25804</t>
  </si>
  <si>
    <t>C21190</t>
  </si>
  <si>
    <t>C23140</t>
  </si>
  <si>
    <t>C23345</t>
  </si>
  <si>
    <t>C4190</t>
  </si>
  <si>
    <t>C23164</t>
  </si>
  <si>
    <t>C25803</t>
  </si>
  <si>
    <t>C23138</t>
  </si>
  <si>
    <t>C21189</t>
  </si>
  <si>
    <t>C25900</t>
  </si>
  <si>
    <t>C25744</t>
  </si>
  <si>
    <t>C22961</t>
  </si>
  <si>
    <t>C22859</t>
  </si>
  <si>
    <t>C5446</t>
  </si>
  <si>
    <t>C2916328</t>
  </si>
  <si>
    <t>C2846043</t>
  </si>
  <si>
    <t>C7450622</t>
  </si>
  <si>
    <t>C5378731</t>
  </si>
  <si>
    <t>Supplier Unit Price 1</t>
  </si>
  <si>
    <t>0.0021</t>
  </si>
  <si>
    <t>0.0012</t>
  </si>
  <si>
    <t>0.1177</t>
  </si>
  <si>
    <t>0.0051</t>
  </si>
  <si>
    <t>0.0059</t>
  </si>
  <si>
    <t>0.0074</t>
  </si>
  <si>
    <t>0.0052</t>
  </si>
  <si>
    <t>0.0065</t>
  </si>
  <si>
    <t>0.0045</t>
  </si>
  <si>
    <t>0.4560</t>
  </si>
  <si>
    <t>0.0195</t>
  </si>
  <si>
    <t>0.0053</t>
  </si>
  <si>
    <t>0.0493</t>
  </si>
  <si>
    <t>3.1065</t>
  </si>
  <si>
    <t>0.6504</t>
  </si>
  <si>
    <t>0.4680</t>
  </si>
  <si>
    <t>0.0139</t>
  </si>
  <si>
    <t>0.0591</t>
  </si>
  <si>
    <t>0.0008</t>
  </si>
  <si>
    <t>0.0005</t>
  </si>
  <si>
    <t>0.0014</t>
  </si>
  <si>
    <t>0.0009</t>
  </si>
  <si>
    <t>0.0019</t>
  </si>
  <si>
    <t>0.0016</t>
  </si>
  <si>
    <t>0.0004</t>
  </si>
  <si>
    <t>0.0992</t>
  </si>
  <si>
    <t>0.0965</t>
  </si>
  <si>
    <t>1.1284</t>
  </si>
  <si>
    <t>0.2603</t>
  </si>
  <si>
    <t>0.1573</t>
  </si>
  <si>
    <t>Supplier URL 1</t>
  </si>
  <si>
    <t>https://jlcpcb.com/parts/componentSearch?searchTxt=</t>
  </si>
  <si>
    <t>https://www.lcsc.com/product-detail/Audio-Power-OpAmps_Diodes-Incorporated-PAM8904JPR_C780875.html</t>
  </si>
  <si>
    <t>https://www.lcsc.com/product-detail/Switching-Diode_Jiangsu-Changjing-Electronics-Technology-Co-Ltd-BAV70_C68978.html</t>
  </si>
  <si>
    <t>https://www.lcsc.com/product-detail/Light-Emitting-Diodes-LED_Hubei-KENTO-Elec-KT-0603R_C2286.html</t>
  </si>
  <si>
    <t>https://www.lcsc.com/product-detail/Light-Emitting-Diodes-LED_Everlight-Elec-19-213-Y2C-CQ2R2L-3T-CY_C72038.html</t>
  </si>
  <si>
    <t>https://www.digikey.com/product-detail/en/nexperia-usa-inc/74AHC1G04GW125/1727-3147-2-ND/1022776</t>
  </si>
  <si>
    <t>https://www.lcsc.com/product-detail/Microcontroller-Units-MCUs-MPUs-SOCs_Microchip-Tech-PIC18F27Q84-I-SS_C2987163.html</t>
  </si>
  <si>
    <t>https://www.lcsc.com/product-detail/Buzzers_KELIKING-KLJ-1102_C201047.html</t>
  </si>
  <si>
    <t>https://jlcpcb.com/parts/componentSearch?searchTxt=C8545</t>
  </si>
  <si>
    <t>https://www.lcsc.com/product-detail/MOSFETs_Alpha-Omega-Semicon-AO3401A_C15127.html</t>
  </si>
  <si>
    <t>https://jlcpcb.com/parts/componentSearch?searchTxt=C25804</t>
  </si>
  <si>
    <t>https://www.lcsc.com/product-detail/Chip-Resistor-Surface-Mount_UNI-ROYAL-Uniroyal-Elec-0603WAF470KT5E_C23164.html</t>
  </si>
  <si>
    <t>https://jlcpcb.com/parts/componentSearch?searchTxt=C25803</t>
  </si>
  <si>
    <t>https://jlcpcb.com/parts/componentSearch?searchTxt=C25900</t>
  </si>
  <si>
    <t>https://jlcpcb.com/parts/componentSearch?searchTxt=C25744</t>
  </si>
  <si>
    <t>https://jlcpcb.com/parts/componentSearch?searchTxt=C22859</t>
  </si>
  <si>
    <t>https://jlcpcb.com/parts/componentSearch?searchTxt=C5446</t>
  </si>
  <si>
    <t>https://www.lcsc.com/product-detail/SMD-round-nut_Sinhoo-SMTSO2570CTJ_C2916328.html</t>
  </si>
  <si>
    <t>https://jlcpcb.com/parts/componentSearch?searchTxt=C2846043</t>
  </si>
  <si>
    <t>https://www.lcsc.com/product-detail/USB-Connectors_G-Switch-GT-USB-7055E_C7450622.html</t>
  </si>
  <si>
    <t>https://www.lcsc.com/product-detail/Light-Emitting-Diodes-LED_OPSCO-Optoelectronics-SK6812MINI-EA_C5378731.html</t>
  </si>
  <si>
    <t>Manufacturer 1</t>
  </si>
  <si>
    <t>YAGEO</t>
  </si>
  <si>
    <t>Guangdong Fenghua Advanced Tech</t>
  </si>
  <si>
    <t>AVX</t>
  </si>
  <si>
    <t>Samsung Electro-Mechanics</t>
  </si>
  <si>
    <t>Diodes Incorporated</t>
  </si>
  <si>
    <t>Changjiang Electronics Tech (CJ)</t>
  </si>
  <si>
    <t>Sunlord</t>
  </si>
  <si>
    <t>Hubei KENTO Elec</t>
  </si>
  <si>
    <t>Everlight Elec</t>
  </si>
  <si>
    <t>Nexperia USA Inc.</t>
  </si>
  <si>
    <t>Microchip Tech</t>
  </si>
  <si>
    <t>KOTL</t>
  </si>
  <si>
    <t>KELIKING</t>
  </si>
  <si>
    <t>Alpha &amp; Omega Semicon</t>
  </si>
  <si>
    <t>Uniroyal Elec</t>
  </si>
  <si>
    <t>UNI-ROYAL(Uniroyal Elec)</t>
  </si>
  <si>
    <t>Torex Semicon</t>
  </si>
  <si>
    <t>Sinhoo</t>
  </si>
  <si>
    <t>WCH(Jiangsu Qin Heng)</t>
  </si>
  <si>
    <t>G-Switch</t>
  </si>
  <si>
    <t>OPSCO Optoelectronics</t>
  </si>
  <si>
    <t>http://www.jinlingdz.com</t>
  </si>
  <si>
    <t>Manufacturer Part Number 1</t>
  </si>
  <si>
    <t>CC0603KRX7R9BB104</t>
  </si>
  <si>
    <t>0603B103K500NT</t>
  </si>
  <si>
    <t>TAJB107K006RNJ</t>
  </si>
  <si>
    <t>CL10A105KB8NNNC</t>
  </si>
  <si>
    <t>CL10A225KO8NNNC</t>
  </si>
  <si>
    <t>CL10B221KB8NNNC</t>
  </si>
  <si>
    <t>CL05A106MQ5NUNC</t>
  </si>
  <si>
    <t>CL05B104KB54PNC</t>
  </si>
  <si>
    <t>CL10B224KA8NNNC</t>
  </si>
  <si>
    <t>19-213/Y2C-CQ2R2L/3T(CY)</t>
  </si>
  <si>
    <t>0603WAF1002T5E</t>
  </si>
  <si>
    <t>0603WAF1001T5E</t>
  </si>
  <si>
    <t>0603WAF330JT5E</t>
  </si>
  <si>
    <t>0603WAF220JT5E</t>
  </si>
  <si>
    <t>0603WAF2201T5E</t>
  </si>
  <si>
    <t>0603WAF470KT5E</t>
  </si>
  <si>
    <t>0603WAF1003T5E</t>
  </si>
  <si>
    <t>0603WAF3300T5E</t>
  </si>
  <si>
    <t>0603WAF0000T5E</t>
  </si>
  <si>
    <t>0402WGF4701TCE</t>
  </si>
  <si>
    <t>0402WGF1002TCE</t>
  </si>
  <si>
    <t>0603WAF2203T5E</t>
  </si>
  <si>
    <t>0603WAF100JT5E</t>
  </si>
  <si>
    <t>Assembly type</t>
  </si>
  <si>
    <t>Basic Part</t>
  </si>
  <si>
    <t>Extended Part</t>
  </si>
  <si>
    <t>DNP</t>
  </si>
  <si>
    <t>Manual Part</t>
  </si>
  <si>
    <t>D:\Project\Project_Altium\Pr_2026\_GITHAB\Logic_Gates\_6_Project\Logic_Gates_4\Logic_Gates_4.PrjPcb</t>
  </si>
  <si>
    <t>127</t>
  </si>
  <si>
    <t>Sat, 1, 11, 25 10:14</t>
  </si>
  <si>
    <t>BOM Manual assembly</t>
  </si>
  <si>
    <t>BomReport</t>
  </si>
  <si>
    <t>BOM</t>
  </si>
  <si>
    <t>Catcatcat Etsy</t>
  </si>
  <si>
    <t>PCB_Catcatcat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</si>
</sst>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C09]dd\-mmm\-yy;@"/>
    <numFmt numFmtId="165" formatCode="[$-409]h:mm:ss\ AM/PM;@"/>
  </numFmts>
  <fonts count="12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2"/>
      <name val="Arial"/>
      <family val="2"/>
    </font>
    <font>
      <b/>
      <i/>
      <sz val="24"/>
      <name val="Times New Roman"/>
      <family val="1"/>
      <charset val="204"/>
    </font>
    <font>
      <sz val="12"/>
      <name val="Arial"/>
      <family val="2"/>
      <charset val="204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  <border>
      <left style="medium">
        <color indexed="62"/>
      </left>
      <right/>
      <top/>
      <bottom style="medium">
        <color indexed="62"/>
      </bottom>
      <diagonal/>
    </border>
    <border>
      <left style="thin">
        <color indexed="64"/>
      </left>
      <right/>
      <top style="thin">
        <color indexed="64"/>
      </top>
      <bottom style="medium">
        <color indexed="62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09">
    <xf numFmtId="0" fontId="0" fillId="0" borderId="0" xfId="0"/>
    <xf numFmtId="14" fontId="0" fillId="0" borderId="0" xfId="0" applyNumberFormat="1" applyBorder="1" applyAlignment="1"/>
    <xf numFmtId="0" fontId="0" fillId="0" borderId="0" xfId="0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0" borderId="0" xfId="0" applyAlignment="1">
      <alignment vertical="top"/>
    </xf>
    <xf numFmtId="0" fontId="0" fillId="2" borderId="3" xfId="0" applyFill="1" applyBorder="1" applyAlignment="1"/>
    <xf numFmtId="0" fontId="2" fillId="0" borderId="1" xfId="0" applyFont="1" applyBorder="1" applyAlignment="1"/>
    <xf numFmtId="0" fontId="4" fillId="0" borderId="1" xfId="0" applyFont="1" applyBorder="1" applyAlignment="1"/>
    <xf numFmtId="0" fontId="4" fillId="0" borderId="0" xfId="0" applyFont="1" applyBorder="1" applyAlignment="1"/>
    <xf numFmtId="164" fontId="0" fillId="0" borderId="4" xfId="0" applyNumberFormat="1" applyBorder="1" applyAlignment="1">
      <alignment horizontal="left"/>
    </xf>
    <xf numFmtId="165" fontId="0" fillId="0" borderId="4" xfId="0" applyNumberFormat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7" fillId="4" borderId="8" xfId="0" applyNumberFormat="1" applyFont="1" applyFill="1" applyBorder="1" applyAlignment="1" applyProtection="1">
      <alignment vertical="top" wrapText="1"/>
      <protection locked="0"/>
    </xf>
    <xf numFmtId="0" fontId="1" fillId="4" borderId="9" xfId="0" applyNumberFormat="1" applyFont="1" applyFill="1" applyBorder="1" applyAlignment="1" applyProtection="1">
      <alignment horizontal="left" vertical="top" wrapText="1"/>
      <protection locked="0"/>
    </xf>
    <xf numFmtId="0" fontId="7" fillId="4" borderId="9" xfId="0" applyNumberFormat="1" applyFont="1" applyFill="1" applyBorder="1" applyAlignment="1" applyProtection="1">
      <alignment vertical="top" wrapText="1"/>
      <protection locked="0"/>
    </xf>
    <xf numFmtId="0" fontId="1" fillId="4" borderId="10" xfId="0" applyNumberFormat="1" applyFont="1" applyFill="1" applyBorder="1" applyAlignment="1" applyProtection="1">
      <alignment vertical="top" wrapText="1"/>
      <protection locked="0"/>
    </xf>
    <xf numFmtId="0" fontId="1" fillId="4" borderId="2" xfId="0" applyNumberFormat="1" applyFont="1" applyFill="1" applyBorder="1" applyAlignment="1" applyProtection="1">
      <alignment horizontal="left" vertical="top" wrapText="1"/>
      <protection locked="0"/>
    </xf>
    <xf numFmtId="0" fontId="7" fillId="4" borderId="2" xfId="0" applyNumberFormat="1" applyFont="1" applyFill="1" applyBorder="1" applyAlignment="1" applyProtection="1">
      <alignment vertical="top" wrapText="1"/>
      <protection locked="0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2" xfId="0" applyNumberFormat="1" applyFont="1" applyFill="1" applyBorder="1" applyAlignment="1" applyProtection="1">
      <alignment vertical="top"/>
      <protection locked="0"/>
    </xf>
    <xf numFmtId="0" fontId="1" fillId="0" borderId="14" xfId="0" applyNumberFormat="1" applyFont="1" applyFill="1" applyBorder="1" applyAlignment="1" applyProtection="1">
      <alignment horizontal="left" vertical="top"/>
      <protection locked="0"/>
    </xf>
    <xf numFmtId="0" fontId="1" fillId="0" borderId="15" xfId="0" applyNumberFormat="1" applyFont="1" applyFill="1" applyBorder="1" applyAlignment="1" applyProtection="1">
      <alignment horizontal="left" vertical="top"/>
      <protection locked="0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0" fillId="2" borderId="17" xfId="0" applyFill="1" applyBorder="1" applyAlignment="1"/>
    <xf numFmtId="0" fontId="0" fillId="2" borderId="18" xfId="0" applyFill="1" applyBorder="1" applyAlignment="1">
      <alignment horizontal="left"/>
    </xf>
    <xf numFmtId="0" fontId="0" fillId="2" borderId="9" xfId="0" applyFill="1" applyBorder="1" applyAlignment="1"/>
    <xf numFmtId="0" fontId="6" fillId="0" borderId="1" xfId="0" applyNumberFormat="1" applyFont="1" applyFill="1" applyBorder="1" applyAlignment="1" applyProtection="1">
      <alignment vertical="top"/>
      <protection locked="0"/>
    </xf>
    <xf numFmtId="0" fontId="1" fillId="0" borderId="1" xfId="0" applyNumberFormat="1" applyFont="1" applyFill="1" applyBorder="1" applyAlignment="1" applyProtection="1">
      <alignment vertical="top"/>
      <protection locked="0"/>
    </xf>
    <xf numFmtId="0" fontId="1" fillId="0" borderId="10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1" fillId="0" borderId="19" xfId="0" applyNumberFormat="1" applyFont="1" applyFill="1" applyBorder="1" applyAlignment="1" applyProtection="1">
      <alignment horizontal="left" vertical="top"/>
      <protection locked="0"/>
    </xf>
    <xf numFmtId="0" fontId="1" fillId="0" borderId="20" xfId="0" applyNumberFormat="1" applyFont="1" applyFill="1" applyBorder="1" applyAlignment="1" applyProtection="1">
      <alignment horizontal="left" vertical="top"/>
      <protection locked="0"/>
    </xf>
    <xf numFmtId="0" fontId="1" fillId="0" borderId="20" xfId="0" applyNumberFormat="1" applyFont="1" applyFill="1" applyBorder="1" applyAlignment="1" applyProtection="1">
      <alignment vertical="top"/>
      <protection locked="0"/>
    </xf>
    <xf numFmtId="0" fontId="1" fillId="0" borderId="21" xfId="0" applyNumberFormat="1" applyFont="1" applyFill="1" applyBorder="1" applyAlignment="1" applyProtection="1">
      <alignment horizontal="left" vertical="top"/>
      <protection locked="0"/>
    </xf>
    <xf numFmtId="0" fontId="1" fillId="0" borderId="22" xfId="0" applyNumberFormat="1" applyFont="1" applyFill="1" applyBorder="1" applyAlignment="1" applyProtection="1">
      <alignment horizontal="left" vertical="top"/>
      <protection locked="0"/>
    </xf>
    <xf numFmtId="0" fontId="1" fillId="0" borderId="22" xfId="0" applyNumberFormat="1" applyFont="1" applyFill="1" applyBorder="1" applyAlignment="1" applyProtection="1">
      <alignment vertical="top"/>
      <protection locked="0"/>
    </xf>
    <xf numFmtId="0" fontId="2" fillId="0" borderId="10" xfId="0" applyFont="1" applyBorder="1" applyAlignment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/>
    <xf numFmtId="0" fontId="2" fillId="0" borderId="0" xfId="0" applyFont="1" applyBorder="1" applyAlignment="1"/>
    <xf numFmtId="0" fontId="0" fillId="0" borderId="4" xfId="0" applyBorder="1" applyAlignment="1"/>
    <xf numFmtId="0" fontId="6" fillId="0" borderId="0" xfId="0" applyNumberFormat="1" applyFont="1" applyFill="1" applyBorder="1" applyAlignment="1" applyProtection="1">
      <alignment horizontal="left" vertical="top"/>
      <protection locked="0"/>
    </xf>
    <xf numFmtId="0" fontId="6" fillId="0" borderId="0" xfId="0" applyNumberFormat="1" applyFont="1" applyFill="1" applyBorder="1" applyAlignment="1" applyProtection="1">
      <alignment vertical="top"/>
      <protection locked="0"/>
    </xf>
    <xf numFmtId="0" fontId="1" fillId="0" borderId="9" xfId="0" applyNumberFormat="1" applyFont="1" applyFill="1" applyBorder="1" applyAlignment="1" applyProtection="1">
      <alignment vertical="top"/>
      <protection locked="0"/>
    </xf>
    <xf numFmtId="0" fontId="0" fillId="0" borderId="0" xfId="0" applyBorder="1" applyAlignment="1">
      <alignment vertical="top"/>
    </xf>
    <xf numFmtId="0" fontId="0" fillId="2" borderId="0" xfId="0" applyFill="1" applyBorder="1" applyAlignment="1"/>
    <xf numFmtId="0" fontId="0" fillId="2" borderId="24" xfId="0" applyFill="1" applyBorder="1" applyAlignment="1"/>
    <xf numFmtId="0" fontId="0" fillId="2" borderId="25" xfId="0" applyFill="1" applyBorder="1" applyAlignment="1"/>
    <xf numFmtId="0" fontId="0" fillId="0" borderId="24" xfId="0" applyBorder="1" applyAlignment="1"/>
    <xf numFmtId="0" fontId="2" fillId="0" borderId="26" xfId="0" applyFont="1" applyBorder="1" applyAlignment="1"/>
    <xf numFmtId="0" fontId="6" fillId="0" borderId="24" xfId="0" applyNumberFormat="1" applyFont="1" applyFill="1" applyBorder="1" applyAlignment="1" applyProtection="1">
      <alignment vertical="top"/>
      <protection locked="0"/>
    </xf>
    <xf numFmtId="0" fontId="1" fillId="0" borderId="23" xfId="0" applyNumberFormat="1" applyFont="1" applyFill="1" applyBorder="1" applyAlignment="1" applyProtection="1">
      <alignment vertical="top"/>
      <protection locked="0"/>
    </xf>
    <xf numFmtId="0" fontId="1" fillId="0" borderId="24" xfId="0" applyNumberFormat="1" applyFont="1" applyFill="1" applyBorder="1" applyAlignment="1" applyProtection="1">
      <alignment vertical="top"/>
      <protection locked="0"/>
    </xf>
    <xf numFmtId="0" fontId="1" fillId="0" borderId="26" xfId="0" applyNumberFormat="1" applyFont="1" applyFill="1" applyBorder="1" applyAlignment="1" applyProtection="1">
      <alignment vertical="top"/>
      <protection locked="0"/>
    </xf>
    <xf numFmtId="0" fontId="7" fillId="4" borderId="23" xfId="0" applyNumberFormat="1" applyFont="1" applyFill="1" applyBorder="1" applyAlignment="1" applyProtection="1">
      <alignment vertical="top" wrapText="1"/>
      <protection locked="0"/>
    </xf>
    <xf numFmtId="0" fontId="7" fillId="4" borderId="26" xfId="0" applyNumberFormat="1" applyFont="1" applyFill="1" applyBorder="1" applyAlignment="1" applyProtection="1">
      <alignment vertical="top" wrapText="1"/>
      <protection locked="0"/>
    </xf>
    <xf numFmtId="0" fontId="9" fillId="0" borderId="1" xfId="0" applyFont="1" applyBorder="1" applyAlignment="1">
      <alignment vertical="center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5" borderId="12" xfId="0" applyNumberFormat="1" applyFont="1" applyFill="1" applyBorder="1" applyAlignment="1">
      <alignment horizontal="center" vertical="center" wrapText="1"/>
    </xf>
    <xf numFmtId="49" fontId="5" fillId="6" borderId="12" xfId="1" applyNumberFormat="1" applyFont="1" applyFill="1" applyBorder="1" applyAlignment="1">
      <alignment horizontal="left" vertical="center"/>
    </xf>
    <xf numFmtId="0" fontId="3" fillId="3" borderId="12" xfId="0" applyNumberFormat="1" applyFont="1" applyFill="1" applyBorder="1" applyAlignment="1">
      <alignment horizontal="center" vertical="center"/>
    </xf>
    <xf numFmtId="0" fontId="11" fillId="6" borderId="12" xfId="2" applyNumberFormat="1" applyFill="1" applyBorder="1" applyAlignment="1">
      <alignment horizontal="center" vertical="center"/>
    </xf>
    <xf numFmtId="49" fontId="5" fillId="0" borderId="12" xfId="0" applyNumberFormat="1" applyFont="1" applyBorder="1" applyAlignment="1">
      <alignment vertical="center" wrapText="1"/>
    </xf>
    <xf numFmtId="49" fontId="5" fillId="5" borderId="12" xfId="0" applyNumberFormat="1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23" xfId="0" applyBorder="1" applyAlignment="1">
      <alignment vertical="center"/>
    </xf>
    <xf numFmtId="1" fontId="10" fillId="2" borderId="12" xfId="0" applyNumberFormat="1" applyFont="1" applyFill="1" applyBorder="1" applyAlignment="1">
      <alignment horizontal="center" vertical="center"/>
    </xf>
    <xf numFmtId="44" fontId="10" fillId="2" borderId="12" xfId="1" applyFont="1" applyFill="1" applyBorder="1" applyAlignment="1">
      <alignment horizontal="right" vertical="center"/>
    </xf>
    <xf numFmtId="44" fontId="10" fillId="0" borderId="9" xfId="1" applyFont="1" applyFill="1" applyBorder="1" applyAlignment="1">
      <alignment horizontal="right" vertical="center"/>
    </xf>
    <xf numFmtId="49" fontId="5" fillId="0" borderId="12" xfId="0" applyNumberFormat="1" applyFont="1" applyBorder="1" applyAlignment="1">
      <alignment horizontal="right" vertical="center" wrapText="1"/>
    </xf>
    <xf numFmtId="49" fontId="5" fillId="5" borderId="12" xfId="0" applyNumberFormat="1" applyFont="1" applyFill="1" applyBorder="1" applyAlignment="1">
      <alignment horizontal="right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5" fillId="2" borderId="12" xfId="1" applyNumberFormat="1" applyFont="1" applyFill="1" applyBorder="1" applyAlignment="1">
      <alignment horizontal="right" vertical="center" wrapText="1"/>
    </xf>
    <xf numFmtId="0" fontId="5" fillId="5" borderId="12" xfId="0" applyNumberFormat="1" applyFont="1" applyFill="1" applyBorder="1" applyAlignment="1">
      <alignment horizontal="right" vertical="center" wrapText="1"/>
    </xf>
    <xf numFmtId="0" fontId="0" fillId="0" borderId="23" xfId="0" applyBorder="1" applyAlignment="1">
      <alignment horizontal="right" vertical="center"/>
    </xf>
    <xf numFmtId="0" fontId="0" fillId="0" borderId="9" xfId="0" applyNumberFormat="1" applyBorder="1" applyAlignment="1">
      <alignment horizontal="right" vertical="center"/>
    </xf>
    <xf numFmtId="0" fontId="5" fillId="2" borderId="12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horizontal="center" vertical="center" wrapText="1"/>
    </xf>
    <xf numFmtId="0" fontId="8" fillId="2" borderId="16" xfId="0" quotePrefix="1" applyFont="1" applyFill="1" applyBorder="1" applyAlignment="1">
      <alignment vertical="center"/>
    </xf>
    <xf numFmtId="0" fontId="2" fillId="0" borderId="0" xfId="0" quotePrefix="1" applyFont="1" applyBorder="1" applyAlignment="1">
      <alignment horizontal="left"/>
    </xf>
    <xf numFmtId="0" fontId="2" fillId="0" borderId="4" xfId="0" quotePrefix="1" applyFont="1" applyBorder="1" applyAlignment="1">
      <alignment horizontal="left"/>
    </xf>
    <xf numFmtId="0" fontId="2" fillId="0" borderId="2" xfId="0" quotePrefix="1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49" fontId="0" fillId="0" borderId="4" xfId="0" quotePrefix="1" applyNumberFormat="1" applyBorder="1" applyAlignment="1">
      <alignment horizontal="left"/>
    </xf>
    <xf numFmtId="0" fontId="0" fillId="3" borderId="5" xfId="0" quotePrefix="1" applyFill="1" applyBorder="1" applyAlignment="1">
      <alignment horizontal="left" vertical="center"/>
    </xf>
    <xf numFmtId="0" fontId="0" fillId="2" borderId="6" xfId="0" quotePrefix="1" applyFill="1" applyBorder="1" applyAlignment="1">
      <alignment horizontal="left" vertical="center"/>
    </xf>
    <xf numFmtId="0" fontId="0" fillId="3" borderId="6" xfId="0" quotePrefix="1" applyFill="1" applyBorder="1" applyAlignment="1">
      <alignment horizontal="left" vertical="center"/>
    </xf>
    <xf numFmtId="0" fontId="0" fillId="2" borderId="7" xfId="0" quotePrefix="1" applyFill="1" applyBorder="1" applyAlignment="1">
      <alignment horizontal="left" vertical="center"/>
    </xf>
  </cellXfs>
  <cellStyles count="3">
    <cellStyle name="Гиперссылка" xfId="2" builtinId="8"/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739009</xdr:colOff>
      <xdr:row>1</xdr:row>
      <xdr:rowOff>289756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480F331-8949-495D-902C-35D0B72D6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0" y="0"/>
          <a:ext cx="739009" cy="456444"/>
        </a:xfrm>
        <a:prstGeom prst="rect">
          <a:avLst/>
        </a:prstGeom>
      </xdr:spPr>
    </xdr:pic>
    <xdr:clientData/>
  </xdr:twoCellAnchor>
  <xdr:twoCellAnchor editAs="oneCell">
    <xdr:from>
      <xdr:col>10</xdr:col>
      <xdr:colOff>357187</xdr:colOff>
      <xdr:row>4</xdr:row>
      <xdr:rowOff>57149</xdr:rowOff>
    </xdr:from>
    <xdr:to>
      <xdr:col>13</xdr:col>
      <xdr:colOff>90487</xdr:colOff>
      <xdr:row>11</xdr:row>
      <xdr:rowOff>146352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1159D1-2ED2-4975-ADDB-837556F99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1262" y="1214437"/>
          <a:ext cx="2190750" cy="1475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showGridLines="0" tabSelected="1" zoomScaleNormal="100" workbookViewId="0">
      <selection activeCell="A13" sqref="A13"/>
    </sheetView>
  </sheetViews>
  <sheetFormatPr defaultColWidth="9.140625" defaultRowHeight="12.75" x14ac:dyDescent="0.2"/>
  <cols>
    <col min="1" max="1" width="16.42578125" style="6" customWidth="1"/>
    <col min="2" max="2" width="19.42578125" style="13" customWidth="1"/>
    <col min="3" max="3" width="22.28515625" style="13" customWidth="1"/>
    <col min="4" max="4" width="28.7109375" style="6" customWidth="1"/>
    <col min="5" max="5" width="36.42578125" style="6" customWidth="1"/>
    <col min="6" max="6" width="7.5703125" style="56" hidden="1" customWidth="1"/>
    <col min="7" max="7" width="9" style="56" customWidth="1"/>
    <col min="8" max="8" width="22.28515625" style="6" customWidth="1"/>
    <col min="9" max="9" width="20.28515625" style="6" customWidth="1"/>
    <col min="10" max="10" width="14" style="6" customWidth="1"/>
    <col min="11" max="11" width="12" style="6" customWidth="1"/>
    <col min="12" max="12" width="22.42578125" style="6" hidden="1" customWidth="1"/>
    <col min="13" max="13" width="22.42578125" style="6" customWidth="1"/>
    <col min="14" max="15" width="26" style="6" customWidth="1"/>
    <col min="16" max="16" width="22.42578125" style="6" customWidth="1"/>
    <col min="17" max="16384" width="9.140625" style="6"/>
  </cols>
  <sheetData>
    <row r="1" spans="1:17" ht="13.5" thickBot="1" x14ac:dyDescent="0.25">
      <c r="A1" s="35" t="s">
        <v>25</v>
      </c>
      <c r="B1" s="36"/>
      <c r="C1" s="36" t="s">
        <v>31</v>
      </c>
      <c r="D1" s="37"/>
      <c r="E1" s="37"/>
      <c r="F1" s="37"/>
      <c r="G1" s="57"/>
      <c r="H1" s="57"/>
      <c r="I1" s="57"/>
      <c r="J1" s="57"/>
      <c r="K1" s="57"/>
      <c r="L1" s="57"/>
      <c r="M1" s="57"/>
      <c r="N1" s="57"/>
      <c r="O1" s="57"/>
      <c r="P1" s="58"/>
      <c r="Q1" s="2"/>
    </row>
    <row r="2" spans="1:17" ht="37.5" customHeight="1" thickBot="1" x14ac:dyDescent="0.25">
      <c r="A2" s="68" t="s">
        <v>22</v>
      </c>
      <c r="B2" s="25"/>
      <c r="C2" s="22"/>
      <c r="D2" s="99" t="s">
        <v>32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59"/>
      <c r="Q2" s="2"/>
    </row>
    <row r="3" spans="1:17" ht="23.25" customHeight="1" x14ac:dyDescent="0.2">
      <c r="A3" s="8" t="s">
        <v>5</v>
      </c>
      <c r="B3" s="25"/>
      <c r="C3" s="100" t="s">
        <v>33</v>
      </c>
      <c r="D3" s="5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0"/>
      <c r="Q3" s="2"/>
    </row>
    <row r="4" spans="1:17" ht="17.25" customHeight="1" x14ac:dyDescent="0.2">
      <c r="A4" s="8" t="s">
        <v>21</v>
      </c>
      <c r="B4" s="25"/>
      <c r="C4" s="101" t="s">
        <v>33</v>
      </c>
      <c r="D4" s="5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0"/>
      <c r="Q4" s="2"/>
    </row>
    <row r="5" spans="1:17" ht="17.25" customHeight="1" x14ac:dyDescent="0.2">
      <c r="A5" s="8" t="s">
        <v>6</v>
      </c>
      <c r="B5" s="25"/>
      <c r="C5" s="102" t="s">
        <v>34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0"/>
      <c r="Q5" s="2"/>
    </row>
    <row r="6" spans="1:17" x14ac:dyDescent="0.2">
      <c r="A6" s="48"/>
      <c r="B6" s="49"/>
      <c r="C6" s="23"/>
      <c r="D6" s="4"/>
      <c r="E6" s="50"/>
      <c r="F6" s="4"/>
      <c r="G6" s="4"/>
      <c r="H6" s="50"/>
      <c r="I6" s="50"/>
      <c r="J6" s="50"/>
      <c r="K6" s="50"/>
      <c r="L6" s="50"/>
      <c r="M6" s="50"/>
      <c r="N6" s="50"/>
      <c r="O6" s="50"/>
      <c r="P6" s="61"/>
      <c r="Q6" s="2"/>
    </row>
    <row r="7" spans="1:17" ht="15.75" customHeight="1" x14ac:dyDescent="0.2">
      <c r="A7" s="9" t="s">
        <v>2</v>
      </c>
      <c r="B7" s="103" t="s">
        <v>35</v>
      </c>
      <c r="C7" s="103" t="s">
        <v>36</v>
      </c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0"/>
      <c r="Q7" s="1"/>
    </row>
    <row r="8" spans="1:17" ht="15.75" customHeight="1" x14ac:dyDescent="0.2">
      <c r="A8" s="3" t="s">
        <v>3</v>
      </c>
      <c r="B8" s="11">
        <f ca="1">TODAY()</f>
        <v>45962</v>
      </c>
      <c r="C8" s="12">
        <f ca="1">NOW()</f>
        <v>45962.427016666668</v>
      </c>
      <c r="D8" s="10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0"/>
      <c r="Q8" s="1"/>
    </row>
    <row r="9" spans="1:17" ht="15.75" customHeight="1" x14ac:dyDescent="0.2">
      <c r="A9" s="9"/>
      <c r="B9" s="24"/>
      <c r="C9" s="24"/>
      <c r="D9" s="1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0"/>
      <c r="Q9" s="2"/>
    </row>
    <row r="10" spans="1:17" ht="15.75" customHeight="1" x14ac:dyDescent="0.2">
      <c r="A10" s="9" t="s">
        <v>23</v>
      </c>
      <c r="B10" s="104" t="s">
        <v>37</v>
      </c>
      <c r="C10" s="24"/>
      <c r="D10" s="10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0"/>
      <c r="Q10" s="2"/>
    </row>
    <row r="11" spans="1:17" ht="15.75" customHeight="1" x14ac:dyDescent="0.2">
      <c r="A11" s="9" t="s">
        <v>24</v>
      </c>
      <c r="B11" s="104" t="s">
        <v>38</v>
      </c>
      <c r="C11" s="24"/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0"/>
      <c r="Q11" s="2"/>
    </row>
    <row r="12" spans="1:17" ht="15.75" customHeight="1" x14ac:dyDescent="0.2">
      <c r="A12" s="3"/>
      <c r="B12" s="25"/>
      <c r="C12" s="2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0"/>
      <c r="Q12" s="2"/>
    </row>
    <row r="13" spans="1:17" s="26" customFormat="1" ht="19.5" customHeight="1" x14ac:dyDescent="0.2">
      <c r="A13" s="88" t="s">
        <v>39</v>
      </c>
      <c r="B13" s="88" t="s">
        <v>52</v>
      </c>
      <c r="C13" s="88" t="s">
        <v>92</v>
      </c>
      <c r="D13" s="88" t="s">
        <v>131</v>
      </c>
      <c r="E13" s="88" t="s">
        <v>171</v>
      </c>
      <c r="F13" s="76" t="s">
        <v>30</v>
      </c>
      <c r="G13" s="76" t="s">
        <v>30</v>
      </c>
      <c r="H13" s="76" t="s">
        <v>210</v>
      </c>
      <c r="I13" s="76" t="s">
        <v>212</v>
      </c>
      <c r="J13" s="76" t="s">
        <v>251</v>
      </c>
      <c r="K13" s="76" t="s">
        <v>27</v>
      </c>
      <c r="L13" s="76" t="s">
        <v>282</v>
      </c>
      <c r="M13" s="72" t="s">
        <v>26</v>
      </c>
      <c r="N13" s="76" t="s">
        <v>304</v>
      </c>
      <c r="O13" s="76" t="s">
        <v>327</v>
      </c>
      <c r="P13" s="76" t="s">
        <v>351</v>
      </c>
    </row>
    <row r="14" spans="1:17" s="77" customFormat="1" ht="63.75" x14ac:dyDescent="0.2">
      <c r="A14" s="87" t="s">
        <v>40</v>
      </c>
      <c r="B14" s="87" t="s">
        <v>53</v>
      </c>
      <c r="C14" s="87" t="s">
        <v>93</v>
      </c>
      <c r="D14" s="87" t="s">
        <v>132</v>
      </c>
      <c r="E14" s="74" t="s">
        <v>172</v>
      </c>
      <c r="F14" s="69">
        <v>31</v>
      </c>
      <c r="G14" s="97">
        <f>F14*$B$10</f>
        <v>31</v>
      </c>
      <c r="H14" s="87" t="s">
        <v>211</v>
      </c>
      <c r="I14" s="87" t="s">
        <v>213</v>
      </c>
      <c r="J14" s="85" t="s">
        <v>252</v>
      </c>
      <c r="K14" s="93">
        <f>F14*J14*$B$10</f>
        <v>6.5099999999999991E-2</v>
      </c>
      <c r="L14" s="71" t="s">
        <v>283</v>
      </c>
      <c r="M14" s="73" t="str">
        <f>HYPERLINK(L14,"Click here to go.")</f>
        <v>Click here to go.</v>
      </c>
      <c r="N14" s="87" t="s">
        <v>305</v>
      </c>
      <c r="O14" s="87" t="s">
        <v>328</v>
      </c>
      <c r="P14" s="87" t="s">
        <v>352</v>
      </c>
    </row>
    <row r="15" spans="1:17" s="77" customFormat="1" ht="25.5" x14ac:dyDescent="0.2">
      <c r="A15" s="70" t="s">
        <v>40</v>
      </c>
      <c r="B15" s="70" t="s">
        <v>54</v>
      </c>
      <c r="C15" s="70" t="s">
        <v>94</v>
      </c>
      <c r="D15" s="70" t="s">
        <v>133</v>
      </c>
      <c r="E15" s="75" t="s">
        <v>173</v>
      </c>
      <c r="F15" s="70">
        <v>1</v>
      </c>
      <c r="G15" s="98">
        <f>F15*$B$10</f>
        <v>1</v>
      </c>
      <c r="H15" s="70" t="s">
        <v>211</v>
      </c>
      <c r="I15" s="70" t="s">
        <v>214</v>
      </c>
      <c r="J15" s="86" t="s">
        <v>253</v>
      </c>
      <c r="K15" s="94">
        <f>F15*J15*$B$10</f>
        <v>1.1999999999999999E-3</v>
      </c>
      <c r="L15" s="71" t="s">
        <v>283</v>
      </c>
      <c r="M15" s="73" t="str">
        <f t="shared" ref="M15:M52" si="0">HYPERLINK(L15,"Click here to go.")</f>
        <v>Click here to go.</v>
      </c>
      <c r="N15" s="70" t="s">
        <v>306</v>
      </c>
      <c r="O15" s="70" t="s">
        <v>329</v>
      </c>
      <c r="P15" s="70" t="s">
        <v>352</v>
      </c>
    </row>
    <row r="16" spans="1:17" s="77" customFormat="1" ht="25.5" x14ac:dyDescent="0.2">
      <c r="A16" s="87" t="s">
        <v>41</v>
      </c>
      <c r="B16" s="87" t="s">
        <v>55</v>
      </c>
      <c r="C16" s="87" t="s">
        <v>95</v>
      </c>
      <c r="D16" s="87" t="s">
        <v>134</v>
      </c>
      <c r="E16" s="74" t="s">
        <v>174</v>
      </c>
      <c r="F16" s="69">
        <v>6</v>
      </c>
      <c r="G16" s="97">
        <f>F16*$B$10</f>
        <v>6</v>
      </c>
      <c r="H16" s="87" t="s">
        <v>211</v>
      </c>
      <c r="I16" s="87" t="s">
        <v>215</v>
      </c>
      <c r="J16" s="85" t="s">
        <v>254</v>
      </c>
      <c r="K16" s="93">
        <f>F16*J16*$B$10</f>
        <v>0.70619999999999994</v>
      </c>
      <c r="L16" s="71" t="s">
        <v>283</v>
      </c>
      <c r="M16" s="73" t="str">
        <f>HYPERLINK(L16,"Click here to go.")</f>
        <v>Click here to go.</v>
      </c>
      <c r="N16" s="87" t="s">
        <v>307</v>
      </c>
      <c r="O16" s="87" t="s">
        <v>330</v>
      </c>
      <c r="P16" s="87" t="s">
        <v>352</v>
      </c>
    </row>
    <row r="17" spans="1:16" s="77" customFormat="1" x14ac:dyDescent="0.2">
      <c r="A17" s="70" t="s">
        <v>40</v>
      </c>
      <c r="B17" s="70" t="s">
        <v>56</v>
      </c>
      <c r="C17" s="70" t="s">
        <v>96</v>
      </c>
      <c r="D17" s="70" t="s">
        <v>135</v>
      </c>
      <c r="E17" s="75" t="s">
        <v>175</v>
      </c>
      <c r="F17" s="70">
        <v>4</v>
      </c>
      <c r="G17" s="98">
        <f>F17*$B$10</f>
        <v>4</v>
      </c>
      <c r="H17" s="70" t="s">
        <v>211</v>
      </c>
      <c r="I17" s="70" t="s">
        <v>216</v>
      </c>
      <c r="J17" s="86" t="s">
        <v>255</v>
      </c>
      <c r="K17" s="94">
        <f>F17*J17*$B$10</f>
        <v>2.0400000000000001E-2</v>
      </c>
      <c r="L17" s="71" t="s">
        <v>283</v>
      </c>
      <c r="M17" s="73" t="str">
        <f t="shared" ref="M17" si="1">HYPERLINK(L17,"Click here to go.")</f>
        <v>Click here to go.</v>
      </c>
      <c r="N17" s="70" t="s">
        <v>308</v>
      </c>
      <c r="O17" s="70" t="s">
        <v>331</v>
      </c>
      <c r="P17" s="70" t="s">
        <v>352</v>
      </c>
    </row>
    <row r="18" spans="1:16" s="77" customFormat="1" ht="25.5" x14ac:dyDescent="0.2">
      <c r="A18" s="87" t="s">
        <v>40</v>
      </c>
      <c r="B18" s="87" t="s">
        <v>57</v>
      </c>
      <c r="C18" s="87" t="s">
        <v>97</v>
      </c>
      <c r="D18" s="87" t="s">
        <v>136</v>
      </c>
      <c r="E18" s="74" t="s">
        <v>176</v>
      </c>
      <c r="F18" s="69">
        <v>1</v>
      </c>
      <c r="G18" s="97">
        <f>F18*$B$10</f>
        <v>1</v>
      </c>
      <c r="H18" s="87" t="s">
        <v>211</v>
      </c>
      <c r="I18" s="87" t="s">
        <v>217</v>
      </c>
      <c r="J18" s="85" t="s">
        <v>256</v>
      </c>
      <c r="K18" s="93">
        <f>F18*J18*$B$10</f>
        <v>5.8999999999999999E-3</v>
      </c>
      <c r="L18" s="71" t="s">
        <v>283</v>
      </c>
      <c r="M18" s="73" t="str">
        <f>HYPERLINK(L18,"Click here to go.")</f>
        <v>Click here to go.</v>
      </c>
      <c r="N18" s="87" t="s">
        <v>308</v>
      </c>
      <c r="O18" s="87" t="s">
        <v>332</v>
      </c>
      <c r="P18" s="87" t="s">
        <v>352</v>
      </c>
    </row>
    <row r="19" spans="1:16" s="77" customFormat="1" x14ac:dyDescent="0.2">
      <c r="A19" s="70" t="s">
        <v>40</v>
      </c>
      <c r="B19" s="70" t="s">
        <v>58</v>
      </c>
      <c r="C19" s="70" t="s">
        <v>98</v>
      </c>
      <c r="D19" s="70" t="s">
        <v>137</v>
      </c>
      <c r="E19" s="75" t="s">
        <v>177</v>
      </c>
      <c r="F19" s="70">
        <v>1</v>
      </c>
      <c r="G19" s="98">
        <f>F19*$B$10</f>
        <v>1</v>
      </c>
      <c r="H19" s="70" t="s">
        <v>211</v>
      </c>
      <c r="I19" s="70" t="s">
        <v>218</v>
      </c>
      <c r="J19" s="86" t="s">
        <v>257</v>
      </c>
      <c r="K19" s="94">
        <f>F19*J19*$B$10</f>
        <v>7.4000000000000003E-3</v>
      </c>
      <c r="L19" s="71" t="s">
        <v>283</v>
      </c>
      <c r="M19" s="73" t="str">
        <f t="shared" ref="M19:M21" si="2">HYPERLINK(L19,"Click here to go.")</f>
        <v>Click here to go.</v>
      </c>
      <c r="N19" s="70" t="s">
        <v>308</v>
      </c>
      <c r="O19" s="70" t="s">
        <v>333</v>
      </c>
      <c r="P19" s="70" t="s">
        <v>352</v>
      </c>
    </row>
    <row r="20" spans="1:16" s="77" customFormat="1" x14ac:dyDescent="0.2">
      <c r="A20" s="87" t="s">
        <v>42</v>
      </c>
      <c r="B20" s="87" t="s">
        <v>59</v>
      </c>
      <c r="C20" s="87" t="s">
        <v>99</v>
      </c>
      <c r="D20" s="87" t="s">
        <v>138</v>
      </c>
      <c r="E20" s="74" t="s">
        <v>178</v>
      </c>
      <c r="F20" s="69">
        <v>1</v>
      </c>
      <c r="G20" s="97">
        <f>F20*$B$10</f>
        <v>1</v>
      </c>
      <c r="H20" s="87" t="s">
        <v>211</v>
      </c>
      <c r="I20" s="87" t="s">
        <v>219</v>
      </c>
      <c r="J20" s="85" t="s">
        <v>258</v>
      </c>
      <c r="K20" s="93">
        <f>F20*J20*$B$10</f>
        <v>5.1999999999999998E-3</v>
      </c>
      <c r="L20" s="71" t="s">
        <v>283</v>
      </c>
      <c r="M20" s="73" t="str">
        <f>HYPERLINK(L20,"Click here to go.")</f>
        <v>Click here to go.</v>
      </c>
      <c r="N20" s="87" t="s">
        <v>308</v>
      </c>
      <c r="O20" s="87" t="s">
        <v>334</v>
      </c>
      <c r="P20" s="87" t="s">
        <v>352</v>
      </c>
    </row>
    <row r="21" spans="1:16" s="77" customFormat="1" ht="25.5" x14ac:dyDescent="0.2">
      <c r="A21" s="70" t="s">
        <v>42</v>
      </c>
      <c r="B21" s="70" t="s">
        <v>60</v>
      </c>
      <c r="C21" s="70" t="s">
        <v>100</v>
      </c>
      <c r="D21" s="70" t="s">
        <v>139</v>
      </c>
      <c r="E21" s="75" t="s">
        <v>172</v>
      </c>
      <c r="F21" s="70">
        <v>2</v>
      </c>
      <c r="G21" s="98">
        <f>F21*$B$10</f>
        <v>2</v>
      </c>
      <c r="H21" s="70" t="s">
        <v>211</v>
      </c>
      <c r="I21" s="70" t="s">
        <v>220</v>
      </c>
      <c r="J21" s="86" t="s">
        <v>259</v>
      </c>
      <c r="K21" s="94">
        <f>F21*J21*$B$10</f>
        <v>1.2999999999999999E-2</v>
      </c>
      <c r="L21" s="71" t="s">
        <v>283</v>
      </c>
      <c r="M21" s="73" t="str">
        <f t="shared" ref="M21" si="3">HYPERLINK(L21,"Click here to go.")</f>
        <v>Click here to go.</v>
      </c>
      <c r="N21" s="70" t="s">
        <v>306</v>
      </c>
      <c r="O21" s="70" t="s">
        <v>335</v>
      </c>
      <c r="P21" s="70" t="s">
        <v>352</v>
      </c>
    </row>
    <row r="22" spans="1:16" s="77" customFormat="1" x14ac:dyDescent="0.2">
      <c r="A22" s="87" t="s">
        <v>40</v>
      </c>
      <c r="B22" s="87" t="s">
        <v>61</v>
      </c>
      <c r="C22" s="87" t="s">
        <v>101</v>
      </c>
      <c r="D22" s="87" t="s">
        <v>140</v>
      </c>
      <c r="E22" s="74" t="s">
        <v>179</v>
      </c>
      <c r="F22" s="69">
        <v>1</v>
      </c>
      <c r="G22" s="97">
        <f>F22*$B$10</f>
        <v>1</v>
      </c>
      <c r="H22" s="87" t="s">
        <v>211</v>
      </c>
      <c r="I22" s="87" t="s">
        <v>221</v>
      </c>
      <c r="J22" s="85" t="s">
        <v>260</v>
      </c>
      <c r="K22" s="93">
        <f>F22*J22*$B$10</f>
        <v>4.4999999999999997E-3</v>
      </c>
      <c r="L22" s="71" t="s">
        <v>283</v>
      </c>
      <c r="M22" s="73" t="str">
        <f>HYPERLINK(L22,"Click here to go.")</f>
        <v>Click here to go.</v>
      </c>
      <c r="N22" s="87" t="s">
        <v>308</v>
      </c>
      <c r="O22" s="87" t="s">
        <v>336</v>
      </c>
      <c r="P22" s="87" t="s">
        <v>352</v>
      </c>
    </row>
    <row r="23" spans="1:16" s="77" customFormat="1" ht="25.5" x14ac:dyDescent="0.2">
      <c r="A23" s="70" t="s">
        <v>43</v>
      </c>
      <c r="B23" s="70" t="s">
        <v>62</v>
      </c>
      <c r="C23" s="70" t="s">
        <v>102</v>
      </c>
      <c r="D23" s="70" t="s">
        <v>141</v>
      </c>
      <c r="E23" s="75" t="s">
        <v>180</v>
      </c>
      <c r="F23" s="70">
        <v>1</v>
      </c>
      <c r="G23" s="98">
        <f>F23*$B$10</f>
        <v>1</v>
      </c>
      <c r="H23" s="70" t="s">
        <v>211</v>
      </c>
      <c r="I23" s="70" t="s">
        <v>222</v>
      </c>
      <c r="J23" s="86" t="s">
        <v>261</v>
      </c>
      <c r="K23" s="94">
        <f>F23*J23*$B$10</f>
        <v>0.45600000000000002</v>
      </c>
      <c r="L23" s="71" t="s">
        <v>284</v>
      </c>
      <c r="M23" s="73" t="str">
        <f t="shared" ref="M23:M29" si="4">HYPERLINK(L23,"Click here to go.")</f>
        <v>Click here to go.</v>
      </c>
      <c r="N23" s="70" t="s">
        <v>309</v>
      </c>
      <c r="O23" s="70" t="s">
        <v>62</v>
      </c>
      <c r="P23" s="70" t="s">
        <v>353</v>
      </c>
    </row>
    <row r="24" spans="1:16" s="77" customFormat="1" ht="25.5" x14ac:dyDescent="0.2">
      <c r="A24" s="87" t="s">
        <v>44</v>
      </c>
      <c r="B24" s="87" t="s">
        <v>63</v>
      </c>
      <c r="C24" s="87" t="s">
        <v>103</v>
      </c>
      <c r="D24" s="87" t="s">
        <v>142</v>
      </c>
      <c r="E24" s="74" t="s">
        <v>181</v>
      </c>
      <c r="F24" s="69">
        <v>1</v>
      </c>
      <c r="G24" s="97">
        <f>F24*$B$10</f>
        <v>1</v>
      </c>
      <c r="H24" s="87" t="s">
        <v>211</v>
      </c>
      <c r="I24" s="87" t="s">
        <v>223</v>
      </c>
      <c r="J24" s="85" t="s">
        <v>262</v>
      </c>
      <c r="K24" s="93">
        <f>F24*J24*$B$10</f>
        <v>1.95E-2</v>
      </c>
      <c r="L24" s="71" t="s">
        <v>285</v>
      </c>
      <c r="M24" s="73" t="str">
        <f>HYPERLINK(L24,"Click here to go.")</f>
        <v>Click here to go.</v>
      </c>
      <c r="N24" s="87" t="s">
        <v>310</v>
      </c>
      <c r="O24" s="87" t="s">
        <v>63</v>
      </c>
      <c r="P24" s="87" t="s">
        <v>352</v>
      </c>
    </row>
    <row r="25" spans="1:16" s="77" customFormat="1" x14ac:dyDescent="0.2">
      <c r="A25" s="70" t="s">
        <v>40</v>
      </c>
      <c r="B25" s="70" t="s">
        <v>64</v>
      </c>
      <c r="C25" s="70" t="s">
        <v>104</v>
      </c>
      <c r="D25" s="70" t="s">
        <v>143</v>
      </c>
      <c r="E25" s="75" t="s">
        <v>182</v>
      </c>
      <c r="F25" s="70">
        <v>4</v>
      </c>
      <c r="G25" s="98">
        <f>F25*$B$10</f>
        <v>4</v>
      </c>
      <c r="H25" s="70" t="s">
        <v>211</v>
      </c>
      <c r="I25" s="70" t="s">
        <v>224</v>
      </c>
      <c r="J25" s="86" t="s">
        <v>260</v>
      </c>
      <c r="K25" s="94">
        <f>F25*J25*$B$10</f>
        <v>1.7999999999999999E-2</v>
      </c>
      <c r="L25" s="71" t="s">
        <v>283</v>
      </c>
      <c r="M25" s="73" t="str">
        <f t="shared" ref="M25" si="5">HYPERLINK(L25,"Click here to go.")</f>
        <v>Click here to go.</v>
      </c>
      <c r="N25" s="70" t="s">
        <v>311</v>
      </c>
      <c r="O25" s="70" t="s">
        <v>64</v>
      </c>
      <c r="P25" s="70" t="s">
        <v>352</v>
      </c>
    </row>
    <row r="26" spans="1:16" s="77" customFormat="1" ht="25.5" x14ac:dyDescent="0.2">
      <c r="A26" s="87" t="s">
        <v>40</v>
      </c>
      <c r="B26" s="87" t="s">
        <v>65</v>
      </c>
      <c r="C26" s="87" t="s">
        <v>105</v>
      </c>
      <c r="D26" s="87" t="s">
        <v>144</v>
      </c>
      <c r="E26" s="74" t="s">
        <v>183</v>
      </c>
      <c r="F26" s="69">
        <v>3</v>
      </c>
      <c r="G26" s="97">
        <f>F26*$B$10</f>
        <v>3</v>
      </c>
      <c r="H26" s="87" t="s">
        <v>211</v>
      </c>
      <c r="I26" s="87" t="s">
        <v>225</v>
      </c>
      <c r="J26" s="85" t="s">
        <v>263</v>
      </c>
      <c r="K26" s="93">
        <f>F26*J26*$B$10</f>
        <v>1.5900000000000001E-2</v>
      </c>
      <c r="L26" s="71" t="s">
        <v>286</v>
      </c>
      <c r="M26" s="73" t="str">
        <f>HYPERLINK(L26,"Click here to go.")</f>
        <v>Click here to go.</v>
      </c>
      <c r="N26" s="87" t="s">
        <v>312</v>
      </c>
      <c r="O26" s="87" t="s">
        <v>65</v>
      </c>
      <c r="P26" s="87" t="s">
        <v>352</v>
      </c>
    </row>
    <row r="27" spans="1:16" s="77" customFormat="1" ht="51" x14ac:dyDescent="0.2">
      <c r="A27" s="70" t="s">
        <v>40</v>
      </c>
      <c r="B27" s="70" t="s">
        <v>66</v>
      </c>
      <c r="C27" s="70" t="s">
        <v>106</v>
      </c>
      <c r="D27" s="70" t="s">
        <v>145</v>
      </c>
      <c r="E27" s="75" t="s">
        <v>184</v>
      </c>
      <c r="F27" s="70">
        <v>2</v>
      </c>
      <c r="G27" s="98">
        <f>F27*$B$10</f>
        <v>2</v>
      </c>
      <c r="H27" s="70" t="s">
        <v>211</v>
      </c>
      <c r="I27" s="70" t="s">
        <v>226</v>
      </c>
      <c r="J27" s="86" t="s">
        <v>262</v>
      </c>
      <c r="K27" s="94">
        <f>F27*J27*$B$10</f>
        <v>3.9E-2</v>
      </c>
      <c r="L27" s="71" t="s">
        <v>287</v>
      </c>
      <c r="M27" s="73" t="str">
        <f t="shared" ref="M27:M29" si="6">HYPERLINK(L27,"Click here to go.")</f>
        <v>Click here to go.</v>
      </c>
      <c r="N27" s="70" t="s">
        <v>313</v>
      </c>
      <c r="O27" s="70" t="s">
        <v>337</v>
      </c>
      <c r="P27" s="70" t="s">
        <v>352</v>
      </c>
    </row>
    <row r="28" spans="1:16" s="77" customFormat="1" ht="25.5" x14ac:dyDescent="0.2">
      <c r="A28" s="87" t="s">
        <v>45</v>
      </c>
      <c r="B28" s="87" t="s">
        <v>67</v>
      </c>
      <c r="C28" s="87" t="s">
        <v>107</v>
      </c>
      <c r="D28" s="87" t="s">
        <v>146</v>
      </c>
      <c r="E28" s="74" t="s">
        <v>185</v>
      </c>
      <c r="F28" s="69">
        <v>1</v>
      </c>
      <c r="G28" s="97">
        <f>F28*$B$10</f>
        <v>1</v>
      </c>
      <c r="H28" s="87" t="s">
        <v>211</v>
      </c>
      <c r="I28" s="87" t="s">
        <v>227</v>
      </c>
      <c r="J28" s="85" t="s">
        <v>264</v>
      </c>
      <c r="K28" s="93">
        <f>F28*J28*$B$10</f>
        <v>4.9299999999999997E-2</v>
      </c>
      <c r="L28" s="71" t="s">
        <v>288</v>
      </c>
      <c r="M28" s="73" t="str">
        <f>HYPERLINK(L28,"Click here to go.")</f>
        <v>Click here to go.</v>
      </c>
      <c r="N28" s="87" t="s">
        <v>314</v>
      </c>
      <c r="O28" s="87" t="s">
        <v>67</v>
      </c>
      <c r="P28" s="87" t="s">
        <v>353</v>
      </c>
    </row>
    <row r="29" spans="1:16" s="77" customFormat="1" ht="38.25" x14ac:dyDescent="0.2">
      <c r="A29" s="70" t="s">
        <v>46</v>
      </c>
      <c r="B29" s="70" t="s">
        <v>68</v>
      </c>
      <c r="C29" s="70" t="s">
        <v>108</v>
      </c>
      <c r="D29" s="70" t="s">
        <v>147</v>
      </c>
      <c r="E29" s="75" t="s">
        <v>186</v>
      </c>
      <c r="F29" s="70">
        <v>1</v>
      </c>
      <c r="G29" s="98">
        <f>F29*$B$10</f>
        <v>1</v>
      </c>
      <c r="H29" s="70" t="s">
        <v>211</v>
      </c>
      <c r="I29" s="70" t="s">
        <v>228</v>
      </c>
      <c r="J29" s="86" t="s">
        <v>265</v>
      </c>
      <c r="K29" s="94">
        <f>F29*J29*$B$10</f>
        <v>3.1065</v>
      </c>
      <c r="L29" s="71" t="s">
        <v>289</v>
      </c>
      <c r="M29" s="73" t="str">
        <f t="shared" ref="M29" si="7">HYPERLINK(L29,"Click here to go.")</f>
        <v>Click here to go.</v>
      </c>
      <c r="N29" s="70" t="s">
        <v>315</v>
      </c>
      <c r="O29" s="70" t="s">
        <v>68</v>
      </c>
      <c r="P29" s="70" t="s">
        <v>353</v>
      </c>
    </row>
    <row r="30" spans="1:16" s="77" customFormat="1" x14ac:dyDescent="0.2">
      <c r="A30" s="87" t="s">
        <v>47</v>
      </c>
      <c r="B30" s="87" t="s">
        <v>69</v>
      </c>
      <c r="C30" s="87" t="s">
        <v>109</v>
      </c>
      <c r="D30" s="87" t="s">
        <v>148</v>
      </c>
      <c r="E30" s="74" t="s">
        <v>187</v>
      </c>
      <c r="F30" s="69">
        <v>1</v>
      </c>
      <c r="G30" s="97">
        <f>F30*$B$10</f>
        <v>1</v>
      </c>
      <c r="H30" s="87" t="s">
        <v>211</v>
      </c>
      <c r="I30" s="87" t="s">
        <v>229</v>
      </c>
      <c r="J30" s="85" t="s">
        <v>266</v>
      </c>
      <c r="K30" s="93">
        <f>F30*J30*$B$10</f>
        <v>0.65039999999999998</v>
      </c>
      <c r="L30" s="71"/>
      <c r="M30" s="73" t="str">
        <f>HYPERLINK(L30,"Click here to go.")</f>
        <v>Click here to go.</v>
      </c>
      <c r="N30" s="87" t="s">
        <v>316</v>
      </c>
      <c r="O30" s="87" t="s">
        <v>69</v>
      </c>
      <c r="P30" s="87" t="s">
        <v>353</v>
      </c>
    </row>
    <row r="31" spans="1:16" s="77" customFormat="1" ht="38.25" x14ac:dyDescent="0.2">
      <c r="A31" s="70" t="s">
        <v>48</v>
      </c>
      <c r="B31" s="70" t="s">
        <v>70</v>
      </c>
      <c r="C31" s="70" t="s">
        <v>110</v>
      </c>
      <c r="D31" s="70" t="s">
        <v>149</v>
      </c>
      <c r="E31" s="75" t="s">
        <v>188</v>
      </c>
      <c r="F31" s="70">
        <v>1</v>
      </c>
      <c r="G31" s="98">
        <f>F31*$B$10</f>
        <v>1</v>
      </c>
      <c r="H31" s="70" t="s">
        <v>211</v>
      </c>
      <c r="I31" s="70" t="s">
        <v>230</v>
      </c>
      <c r="J31" s="86" t="s">
        <v>267</v>
      </c>
      <c r="K31" s="94">
        <f>F31*J31*$B$10</f>
        <v>0.46800000000000003</v>
      </c>
      <c r="L31" s="71" t="s">
        <v>290</v>
      </c>
      <c r="M31" s="73" t="str">
        <f t="shared" ref="M31:M45" si="8">HYPERLINK(L31,"Click here to go.")</f>
        <v>Click here to go.</v>
      </c>
      <c r="N31" s="70" t="s">
        <v>317</v>
      </c>
      <c r="O31" s="70" t="s">
        <v>70</v>
      </c>
      <c r="P31" s="70" t="s">
        <v>353</v>
      </c>
    </row>
    <row r="32" spans="1:16" s="77" customFormat="1" ht="38.25" x14ac:dyDescent="0.2">
      <c r="A32" s="87" t="s">
        <v>44</v>
      </c>
      <c r="B32" s="87" t="s">
        <v>71</v>
      </c>
      <c r="C32" s="87" t="s">
        <v>111</v>
      </c>
      <c r="D32" s="87" t="s">
        <v>150</v>
      </c>
      <c r="E32" s="74" t="s">
        <v>189</v>
      </c>
      <c r="F32" s="69">
        <v>1</v>
      </c>
      <c r="G32" s="97">
        <f>F32*$B$10</f>
        <v>1</v>
      </c>
      <c r="H32" s="87" t="s">
        <v>211</v>
      </c>
      <c r="I32" s="87" t="s">
        <v>231</v>
      </c>
      <c r="J32" s="85" t="s">
        <v>268</v>
      </c>
      <c r="K32" s="93">
        <f>F32*J32*$B$10</f>
        <v>1.3899999999999999E-2</v>
      </c>
      <c r="L32" s="71" t="s">
        <v>291</v>
      </c>
      <c r="M32" s="73" t="str">
        <f>HYPERLINK(L32,"Click here to go.")</f>
        <v>Click here to go.</v>
      </c>
      <c r="N32" s="87" t="s">
        <v>310</v>
      </c>
      <c r="O32" s="87" t="s">
        <v>71</v>
      </c>
      <c r="P32" s="87" t="s">
        <v>352</v>
      </c>
    </row>
    <row r="33" spans="1:16" s="77" customFormat="1" ht="38.25" x14ac:dyDescent="0.2">
      <c r="A33" s="70" t="s">
        <v>49</v>
      </c>
      <c r="B33" s="70" t="s">
        <v>72</v>
      </c>
      <c r="C33" s="70" t="s">
        <v>112</v>
      </c>
      <c r="D33" s="70" t="s">
        <v>151</v>
      </c>
      <c r="E33" s="75" t="s">
        <v>190</v>
      </c>
      <c r="F33" s="70">
        <v>2</v>
      </c>
      <c r="G33" s="98">
        <f>F33*$B$10</f>
        <v>2</v>
      </c>
      <c r="H33" s="70" t="s">
        <v>211</v>
      </c>
      <c r="I33" s="70" t="s">
        <v>232</v>
      </c>
      <c r="J33" s="86" t="s">
        <v>269</v>
      </c>
      <c r="K33" s="94">
        <f>F33*J33*$B$10</f>
        <v>0.1182</v>
      </c>
      <c r="L33" s="71" t="s">
        <v>292</v>
      </c>
      <c r="M33" s="73" t="str">
        <f t="shared" ref="M33" si="9">HYPERLINK(L33,"Click here to go.")</f>
        <v>Click here to go.</v>
      </c>
      <c r="N33" s="70" t="s">
        <v>318</v>
      </c>
      <c r="O33" s="70" t="s">
        <v>72</v>
      </c>
      <c r="P33" s="70" t="s">
        <v>352</v>
      </c>
    </row>
    <row r="34" spans="1:16" s="77" customFormat="1" x14ac:dyDescent="0.2">
      <c r="A34" s="87" t="s">
        <v>40</v>
      </c>
      <c r="B34" s="87" t="s">
        <v>73</v>
      </c>
      <c r="C34" s="87" t="s">
        <v>113</v>
      </c>
      <c r="D34" s="87" t="s">
        <v>152</v>
      </c>
      <c r="E34" s="74" t="s">
        <v>191</v>
      </c>
      <c r="F34" s="69">
        <v>2</v>
      </c>
      <c r="G34" s="97">
        <f>F34*$B$10</f>
        <v>2</v>
      </c>
      <c r="H34" s="87" t="s">
        <v>211</v>
      </c>
      <c r="I34" s="87" t="s">
        <v>233</v>
      </c>
      <c r="J34" s="85" t="s">
        <v>270</v>
      </c>
      <c r="K34" s="93">
        <f>F34*J34*$B$10</f>
        <v>1.6000000000000001E-3</v>
      </c>
      <c r="L34" s="71" t="s">
        <v>293</v>
      </c>
      <c r="M34" s="73" t="str">
        <f>HYPERLINK(L34,"Click here to go.")</f>
        <v>Click here to go.</v>
      </c>
      <c r="N34" s="87" t="s">
        <v>319</v>
      </c>
      <c r="O34" s="87" t="s">
        <v>338</v>
      </c>
      <c r="P34" s="87" t="s">
        <v>352</v>
      </c>
    </row>
    <row r="35" spans="1:16" s="77" customFormat="1" ht="25.5" x14ac:dyDescent="0.2">
      <c r="A35" s="70" t="s">
        <v>40</v>
      </c>
      <c r="B35" s="70" t="s">
        <v>74</v>
      </c>
      <c r="C35" s="70" t="s">
        <v>114</v>
      </c>
      <c r="D35" s="70" t="s">
        <v>153</v>
      </c>
      <c r="E35" s="75" t="s">
        <v>192</v>
      </c>
      <c r="F35" s="70">
        <v>12</v>
      </c>
      <c r="G35" s="98">
        <f>F35*$B$10</f>
        <v>12</v>
      </c>
      <c r="H35" s="70" t="s">
        <v>211</v>
      </c>
      <c r="I35" s="70" t="s">
        <v>234</v>
      </c>
      <c r="J35" s="86" t="s">
        <v>271</v>
      </c>
      <c r="K35" s="94">
        <f>F35*J35*$B$10</f>
        <v>6.0000000000000001E-3</v>
      </c>
      <c r="L35" s="71" t="s">
        <v>283</v>
      </c>
      <c r="M35" s="73" t="str">
        <f t="shared" ref="M35:M37" si="10">HYPERLINK(L35,"Click here to go.")</f>
        <v>Click here to go.</v>
      </c>
      <c r="N35" s="70" t="s">
        <v>319</v>
      </c>
      <c r="O35" s="70" t="s">
        <v>339</v>
      </c>
      <c r="P35" s="70" t="s">
        <v>352</v>
      </c>
    </row>
    <row r="36" spans="1:16" s="77" customFormat="1" x14ac:dyDescent="0.2">
      <c r="A36" s="87" t="s">
        <v>40</v>
      </c>
      <c r="B36" s="87" t="s">
        <v>75</v>
      </c>
      <c r="C36" s="87" t="s">
        <v>115</v>
      </c>
      <c r="D36" s="87" t="s">
        <v>154</v>
      </c>
      <c r="E36" s="74" t="s">
        <v>193</v>
      </c>
      <c r="F36" s="69">
        <v>1</v>
      </c>
      <c r="G36" s="97">
        <f>F36*$B$10</f>
        <v>1</v>
      </c>
      <c r="H36" s="87" t="s">
        <v>211</v>
      </c>
      <c r="I36" s="87" t="s">
        <v>235</v>
      </c>
      <c r="J36" s="85" t="s">
        <v>272</v>
      </c>
      <c r="K36" s="93">
        <f>F36*J36*$B$10</f>
        <v>1.4E-3</v>
      </c>
      <c r="L36" s="71" t="s">
        <v>283</v>
      </c>
      <c r="M36" s="73" t="str">
        <f>HYPERLINK(L36,"Click here to go.")</f>
        <v>Click here to go.</v>
      </c>
      <c r="N36" s="87" t="s">
        <v>319</v>
      </c>
      <c r="O36" s="87" t="s">
        <v>340</v>
      </c>
      <c r="P36" s="87" t="s">
        <v>352</v>
      </c>
    </row>
    <row r="37" spans="1:16" s="77" customFormat="1" x14ac:dyDescent="0.2">
      <c r="A37" s="70" t="s">
        <v>40</v>
      </c>
      <c r="B37" s="70" t="s">
        <v>76</v>
      </c>
      <c r="C37" s="70" t="s">
        <v>116</v>
      </c>
      <c r="D37" s="70" t="s">
        <v>155</v>
      </c>
      <c r="E37" s="75" t="s">
        <v>194</v>
      </c>
      <c r="F37" s="70">
        <v>2</v>
      </c>
      <c r="G37" s="98">
        <f>F37*$B$10</f>
        <v>2</v>
      </c>
      <c r="H37" s="70" t="s">
        <v>211</v>
      </c>
      <c r="I37" s="70" t="s">
        <v>236</v>
      </c>
      <c r="J37" s="86" t="s">
        <v>273</v>
      </c>
      <c r="K37" s="94">
        <f>F37*J37*$B$10</f>
        <v>1.8E-3</v>
      </c>
      <c r="L37" s="71" t="s">
        <v>283</v>
      </c>
      <c r="M37" s="73" t="str">
        <f t="shared" ref="M37" si="11">HYPERLINK(L37,"Click here to go.")</f>
        <v>Click here to go.</v>
      </c>
      <c r="N37" s="70" t="s">
        <v>319</v>
      </c>
      <c r="O37" s="70" t="s">
        <v>341</v>
      </c>
      <c r="P37" s="70" t="s">
        <v>352</v>
      </c>
    </row>
    <row r="38" spans="1:16" s="77" customFormat="1" x14ac:dyDescent="0.2">
      <c r="A38" s="87" t="s">
        <v>40</v>
      </c>
      <c r="B38" s="87" t="s">
        <v>77</v>
      </c>
      <c r="C38" s="87" t="s">
        <v>117</v>
      </c>
      <c r="D38" s="87" t="s">
        <v>156</v>
      </c>
      <c r="E38" s="74" t="s">
        <v>195</v>
      </c>
      <c r="F38" s="69">
        <v>4</v>
      </c>
      <c r="G38" s="97">
        <f>F38*$B$10</f>
        <v>4</v>
      </c>
      <c r="H38" s="87" t="s">
        <v>211</v>
      </c>
      <c r="I38" s="87" t="s">
        <v>237</v>
      </c>
      <c r="J38" s="85" t="s">
        <v>273</v>
      </c>
      <c r="K38" s="93">
        <f>F38*J38*$B$10</f>
        <v>3.5999999999999999E-3</v>
      </c>
      <c r="L38" s="71" t="s">
        <v>283</v>
      </c>
      <c r="M38" s="73" t="str">
        <f>HYPERLINK(L38,"Click here to go.")</f>
        <v>Click here to go.</v>
      </c>
      <c r="N38" s="87" t="s">
        <v>319</v>
      </c>
      <c r="O38" s="87" t="s">
        <v>342</v>
      </c>
      <c r="P38" s="87" t="s">
        <v>352</v>
      </c>
    </row>
    <row r="39" spans="1:16" s="77" customFormat="1" x14ac:dyDescent="0.2">
      <c r="A39" s="70" t="s">
        <v>40</v>
      </c>
      <c r="B39" s="70" t="s">
        <v>78</v>
      </c>
      <c r="C39" s="70" t="s">
        <v>118</v>
      </c>
      <c r="D39" s="70" t="s">
        <v>157</v>
      </c>
      <c r="E39" s="75" t="s">
        <v>196</v>
      </c>
      <c r="F39" s="70">
        <v>1</v>
      </c>
      <c r="G39" s="98">
        <f>F39*$B$10</f>
        <v>1</v>
      </c>
      <c r="H39" s="70" t="s">
        <v>211</v>
      </c>
      <c r="I39" s="70" t="s">
        <v>238</v>
      </c>
      <c r="J39" s="86" t="s">
        <v>272</v>
      </c>
      <c r="K39" s="94">
        <f>F39*J39*$B$10</f>
        <v>1.4E-3</v>
      </c>
      <c r="L39" s="71" t="s">
        <v>294</v>
      </c>
      <c r="M39" s="73" t="str">
        <f t="shared" ref="M39:M45" si="12">HYPERLINK(L39,"Click here to go.")</f>
        <v>Click here to go.</v>
      </c>
      <c r="N39" s="70" t="s">
        <v>320</v>
      </c>
      <c r="O39" s="70" t="s">
        <v>343</v>
      </c>
      <c r="P39" s="70" t="s">
        <v>352</v>
      </c>
    </row>
    <row r="40" spans="1:16" s="77" customFormat="1" x14ac:dyDescent="0.2">
      <c r="A40" s="87" t="s">
        <v>40</v>
      </c>
      <c r="B40" s="87" t="s">
        <v>79</v>
      </c>
      <c r="C40" s="87" t="s">
        <v>119</v>
      </c>
      <c r="D40" s="87" t="s">
        <v>158</v>
      </c>
      <c r="E40" s="74" t="s">
        <v>197</v>
      </c>
      <c r="F40" s="69">
        <v>1</v>
      </c>
      <c r="G40" s="97">
        <f>F40*$B$10</f>
        <v>1</v>
      </c>
      <c r="H40" s="87" t="s">
        <v>211</v>
      </c>
      <c r="I40" s="87" t="s">
        <v>239</v>
      </c>
      <c r="J40" s="85" t="s">
        <v>273</v>
      </c>
      <c r="K40" s="93">
        <f>F40*J40*$B$10</f>
        <v>8.9999999999999998E-4</v>
      </c>
      <c r="L40" s="71" t="s">
        <v>295</v>
      </c>
      <c r="M40" s="73" t="str">
        <f>HYPERLINK(L40,"Click here to go.")</f>
        <v>Click here to go.</v>
      </c>
      <c r="N40" s="87" t="s">
        <v>320</v>
      </c>
      <c r="O40" s="87" t="s">
        <v>344</v>
      </c>
      <c r="P40" s="87" t="s">
        <v>352</v>
      </c>
    </row>
    <row r="41" spans="1:16" s="77" customFormat="1" x14ac:dyDescent="0.2">
      <c r="A41" s="70" t="s">
        <v>40</v>
      </c>
      <c r="B41" s="70" t="s">
        <v>80</v>
      </c>
      <c r="C41" s="70" t="s">
        <v>120</v>
      </c>
      <c r="D41" s="70" t="s">
        <v>159</v>
      </c>
      <c r="E41" s="75" t="s">
        <v>198</v>
      </c>
      <c r="F41" s="70">
        <v>2</v>
      </c>
      <c r="G41" s="98">
        <f>F41*$B$10</f>
        <v>2</v>
      </c>
      <c r="H41" s="70" t="s">
        <v>211</v>
      </c>
      <c r="I41" s="70" t="s">
        <v>240</v>
      </c>
      <c r="J41" s="86" t="s">
        <v>274</v>
      </c>
      <c r="K41" s="94">
        <f>F41*J41*$B$10</f>
        <v>3.8E-3</v>
      </c>
      <c r="L41" s="71" t="s">
        <v>283</v>
      </c>
      <c r="M41" s="73" t="str">
        <f t="shared" ref="M41" si="13">HYPERLINK(L41,"Click here to go.")</f>
        <v>Click here to go.</v>
      </c>
      <c r="N41" s="70" t="s">
        <v>319</v>
      </c>
      <c r="O41" s="70" t="s">
        <v>345</v>
      </c>
      <c r="P41" s="70" t="s">
        <v>352</v>
      </c>
    </row>
    <row r="42" spans="1:16" s="77" customFormat="1" x14ac:dyDescent="0.2">
      <c r="A42" s="87" t="s">
        <v>40</v>
      </c>
      <c r="B42" s="87" t="s">
        <v>81</v>
      </c>
      <c r="C42" s="87" t="s">
        <v>121</v>
      </c>
      <c r="D42" s="87" t="s">
        <v>160</v>
      </c>
      <c r="E42" s="74" t="s">
        <v>199</v>
      </c>
      <c r="F42" s="69">
        <v>2</v>
      </c>
      <c r="G42" s="97">
        <f>F42*$B$10</f>
        <v>2</v>
      </c>
      <c r="H42" s="87" t="s">
        <v>211</v>
      </c>
      <c r="I42" s="87" t="s">
        <v>241</v>
      </c>
      <c r="J42" s="85" t="s">
        <v>275</v>
      </c>
      <c r="K42" s="93">
        <f>F42*J42*$B$10</f>
        <v>3.2000000000000002E-3</v>
      </c>
      <c r="L42" s="71" t="s">
        <v>283</v>
      </c>
      <c r="M42" s="73" t="str">
        <f>HYPERLINK(L42,"Click here to go.")</f>
        <v>Click here to go.</v>
      </c>
      <c r="N42" s="87" t="s">
        <v>319</v>
      </c>
      <c r="O42" s="87" t="s">
        <v>346</v>
      </c>
      <c r="P42" s="87" t="s">
        <v>354</v>
      </c>
    </row>
    <row r="43" spans="1:16" s="77" customFormat="1" x14ac:dyDescent="0.2">
      <c r="A43" s="70" t="s">
        <v>42</v>
      </c>
      <c r="B43" s="70" t="s">
        <v>82</v>
      </c>
      <c r="C43" s="70" t="s">
        <v>122</v>
      </c>
      <c r="D43" s="70" t="s">
        <v>161</v>
      </c>
      <c r="E43" s="75" t="s">
        <v>200</v>
      </c>
      <c r="F43" s="70">
        <v>1</v>
      </c>
      <c r="G43" s="98">
        <f>F43*$B$10</f>
        <v>1</v>
      </c>
      <c r="H43" s="70" t="s">
        <v>211</v>
      </c>
      <c r="I43" s="70" t="s">
        <v>242</v>
      </c>
      <c r="J43" s="86" t="s">
        <v>271</v>
      </c>
      <c r="K43" s="94">
        <f>F43*J43*$B$10</f>
        <v>5.0000000000000001E-4</v>
      </c>
      <c r="L43" s="71" t="s">
        <v>296</v>
      </c>
      <c r="M43" s="73" t="str">
        <f t="shared" ref="M43:M45" si="14">HYPERLINK(L43,"Click here to go.")</f>
        <v>Click here to go.</v>
      </c>
      <c r="N43" s="70" t="s">
        <v>320</v>
      </c>
      <c r="O43" s="70" t="s">
        <v>347</v>
      </c>
      <c r="P43" s="70" t="s">
        <v>352</v>
      </c>
    </row>
    <row r="44" spans="1:16" s="77" customFormat="1" x14ac:dyDescent="0.2">
      <c r="A44" s="87" t="s">
        <v>42</v>
      </c>
      <c r="B44" s="87" t="s">
        <v>83</v>
      </c>
      <c r="C44" s="87" t="s">
        <v>123</v>
      </c>
      <c r="D44" s="87" t="s">
        <v>162</v>
      </c>
      <c r="E44" s="74" t="s">
        <v>201</v>
      </c>
      <c r="F44" s="69">
        <v>1</v>
      </c>
      <c r="G44" s="97">
        <f>F44*$B$10</f>
        <v>1</v>
      </c>
      <c r="H44" s="87" t="s">
        <v>211</v>
      </c>
      <c r="I44" s="87" t="s">
        <v>243</v>
      </c>
      <c r="J44" s="85" t="s">
        <v>276</v>
      </c>
      <c r="K44" s="93">
        <f>F44*J44*$B$10</f>
        <v>4.0000000000000002E-4</v>
      </c>
      <c r="L44" s="71" t="s">
        <v>297</v>
      </c>
      <c r="M44" s="73" t="str">
        <f>HYPERLINK(L44,"Click here to go.")</f>
        <v>Click here to go.</v>
      </c>
      <c r="N44" s="87" t="s">
        <v>319</v>
      </c>
      <c r="O44" s="87" t="s">
        <v>348</v>
      </c>
      <c r="P44" s="87" t="s">
        <v>354</v>
      </c>
    </row>
    <row r="45" spans="1:16" s="77" customFormat="1" x14ac:dyDescent="0.2">
      <c r="A45" s="70" t="s">
        <v>40</v>
      </c>
      <c r="B45" s="70" t="s">
        <v>84</v>
      </c>
      <c r="C45" s="70" t="s">
        <v>124</v>
      </c>
      <c r="D45" s="70" t="s">
        <v>163</v>
      </c>
      <c r="E45" s="75" t="s">
        <v>202</v>
      </c>
      <c r="F45" s="70">
        <v>1</v>
      </c>
      <c r="G45" s="98">
        <f>F45*$B$10</f>
        <v>1</v>
      </c>
      <c r="H45" s="70" t="s">
        <v>211</v>
      </c>
      <c r="I45" s="70" t="s">
        <v>244</v>
      </c>
      <c r="J45" s="86" t="s">
        <v>275</v>
      </c>
      <c r="K45" s="94">
        <f>F45*J45*$B$10</f>
        <v>1.6000000000000001E-3</v>
      </c>
      <c r="L45" s="71" t="s">
        <v>283</v>
      </c>
      <c r="M45" s="73" t="str">
        <f t="shared" ref="M45" si="15">HYPERLINK(L45,"Click here to go.")</f>
        <v>Click here to go.</v>
      </c>
      <c r="N45" s="70" t="s">
        <v>319</v>
      </c>
      <c r="O45" s="70" t="s">
        <v>349</v>
      </c>
      <c r="P45" s="70" t="s">
        <v>352</v>
      </c>
    </row>
    <row r="46" spans="1:16" s="77" customFormat="1" x14ac:dyDescent="0.2">
      <c r="A46" s="87" t="s">
        <v>40</v>
      </c>
      <c r="B46" s="87" t="s">
        <v>85</v>
      </c>
      <c r="C46" s="87" t="s">
        <v>125</v>
      </c>
      <c r="D46" s="87" t="s">
        <v>164</v>
      </c>
      <c r="E46" s="74" t="s">
        <v>203</v>
      </c>
      <c r="F46" s="69">
        <v>1</v>
      </c>
      <c r="G46" s="97">
        <f>F46*$B$10</f>
        <v>1</v>
      </c>
      <c r="H46" s="87" t="s">
        <v>211</v>
      </c>
      <c r="I46" s="87" t="s">
        <v>245</v>
      </c>
      <c r="J46" s="85" t="s">
        <v>273</v>
      </c>
      <c r="K46" s="93">
        <f>F46*J46*$B$10</f>
        <v>8.9999999999999998E-4</v>
      </c>
      <c r="L46" s="71" t="s">
        <v>298</v>
      </c>
      <c r="M46" s="73" t="str">
        <f>HYPERLINK(L46,"Click here to go.")</f>
        <v>Click here to go.</v>
      </c>
      <c r="N46" s="87" t="s">
        <v>319</v>
      </c>
      <c r="O46" s="87" t="s">
        <v>350</v>
      </c>
      <c r="P46" s="87" t="s">
        <v>352</v>
      </c>
    </row>
    <row r="47" spans="1:16" s="77" customFormat="1" ht="38.25" x14ac:dyDescent="0.2">
      <c r="A47" s="70" t="s">
        <v>49</v>
      </c>
      <c r="B47" s="70" t="s">
        <v>86</v>
      </c>
      <c r="C47" s="70" t="s">
        <v>126</v>
      </c>
      <c r="D47" s="70" t="s">
        <v>165</v>
      </c>
      <c r="E47" s="75" t="s">
        <v>204</v>
      </c>
      <c r="F47" s="70">
        <v>1</v>
      </c>
      <c r="G47" s="98">
        <f>F47*$B$10</f>
        <v>1</v>
      </c>
      <c r="H47" s="70" t="s">
        <v>211</v>
      </c>
      <c r="I47" s="70" t="s">
        <v>246</v>
      </c>
      <c r="J47" s="86" t="s">
        <v>277</v>
      </c>
      <c r="K47" s="94">
        <f>F47*J47*$B$10</f>
        <v>9.9199999999999997E-2</v>
      </c>
      <c r="L47" s="71" t="s">
        <v>299</v>
      </c>
      <c r="M47" s="73" t="str">
        <f t="shared" ref="M47:M52" si="16">HYPERLINK(L47,"Click here to go.")</f>
        <v>Click here to go.</v>
      </c>
      <c r="N47" s="70" t="s">
        <v>321</v>
      </c>
      <c r="O47" s="70" t="s">
        <v>86</v>
      </c>
      <c r="P47" s="70" t="s">
        <v>352</v>
      </c>
    </row>
    <row r="48" spans="1:16" s="77" customFormat="1" ht="38.25" x14ac:dyDescent="0.2">
      <c r="A48" s="87" t="s">
        <v>50</v>
      </c>
      <c r="B48" s="87" t="s">
        <v>87</v>
      </c>
      <c r="C48" s="87" t="s">
        <v>127</v>
      </c>
      <c r="D48" s="87" t="s">
        <v>166</v>
      </c>
      <c r="E48" s="74" t="s">
        <v>205</v>
      </c>
      <c r="F48" s="69">
        <v>6</v>
      </c>
      <c r="G48" s="97">
        <f>F48*$B$10</f>
        <v>6</v>
      </c>
      <c r="H48" s="87" t="s">
        <v>211</v>
      </c>
      <c r="I48" s="87" t="s">
        <v>247</v>
      </c>
      <c r="J48" s="85" t="s">
        <v>278</v>
      </c>
      <c r="K48" s="93">
        <f>F48*J48*$B$10</f>
        <v>0.57899999999999996</v>
      </c>
      <c r="L48" s="71" t="s">
        <v>300</v>
      </c>
      <c r="M48" s="73" t="str">
        <f>HYPERLINK(L48,"Click here to go.")</f>
        <v>Click here to go.</v>
      </c>
      <c r="N48" s="87" t="s">
        <v>322</v>
      </c>
      <c r="O48" s="87" t="s">
        <v>87</v>
      </c>
      <c r="P48" s="87" t="s">
        <v>353</v>
      </c>
    </row>
    <row r="49" spans="1:17" s="77" customFormat="1" ht="25.5" x14ac:dyDescent="0.2">
      <c r="A49" s="70" t="s">
        <v>51</v>
      </c>
      <c r="B49" s="70" t="s">
        <v>88</v>
      </c>
      <c r="C49" s="70" t="s">
        <v>128</v>
      </c>
      <c r="D49" s="70" t="s">
        <v>167</v>
      </c>
      <c r="E49" s="75" t="s">
        <v>206</v>
      </c>
      <c r="F49" s="70">
        <v>1</v>
      </c>
      <c r="G49" s="98">
        <f>F49*$B$10</f>
        <v>1</v>
      </c>
      <c r="H49" s="70" t="s">
        <v>211</v>
      </c>
      <c r="I49" s="70" t="s">
        <v>248</v>
      </c>
      <c r="J49" s="86" t="s">
        <v>279</v>
      </c>
      <c r="K49" s="94">
        <f>F49*J49*$B$10</f>
        <v>1.1284000000000001</v>
      </c>
      <c r="L49" s="71" t="s">
        <v>301</v>
      </c>
      <c r="M49" s="73" t="str">
        <f t="shared" ref="M49" si="17">HYPERLINK(L49,"Click here to go.")</f>
        <v>Click here to go.</v>
      </c>
      <c r="N49" s="70" t="s">
        <v>323</v>
      </c>
      <c r="O49" s="70" t="s">
        <v>88</v>
      </c>
      <c r="P49" s="70" t="s">
        <v>353</v>
      </c>
    </row>
    <row r="50" spans="1:17" s="77" customFormat="1" ht="51" x14ac:dyDescent="0.2">
      <c r="A50" s="87" t="s">
        <v>47</v>
      </c>
      <c r="B50" s="87" t="s">
        <v>89</v>
      </c>
      <c r="C50" s="87" t="s">
        <v>129</v>
      </c>
      <c r="D50" s="87" t="s">
        <v>168</v>
      </c>
      <c r="E50" s="74" t="s">
        <v>207</v>
      </c>
      <c r="F50" s="69">
        <v>1</v>
      </c>
      <c r="G50" s="97">
        <f>F50*$B$10</f>
        <v>1</v>
      </c>
      <c r="H50" s="87" t="s">
        <v>211</v>
      </c>
      <c r="I50" s="87" t="s">
        <v>249</v>
      </c>
      <c r="J50" s="85" t="s">
        <v>280</v>
      </c>
      <c r="K50" s="93">
        <f>F50*J50*$B$10</f>
        <v>0.26029999999999998</v>
      </c>
      <c r="L50" s="71" t="s">
        <v>302</v>
      </c>
      <c r="M50" s="73" t="str">
        <f>HYPERLINK(L50,"Click here to go.")</f>
        <v>Click here to go.</v>
      </c>
      <c r="N50" s="87" t="s">
        <v>324</v>
      </c>
      <c r="O50" s="87" t="s">
        <v>89</v>
      </c>
      <c r="P50" s="87" t="s">
        <v>353</v>
      </c>
    </row>
    <row r="51" spans="1:17" s="77" customFormat="1" ht="63.75" x14ac:dyDescent="0.2">
      <c r="A51" s="70" t="s">
        <v>47</v>
      </c>
      <c r="B51" s="70" t="s">
        <v>90</v>
      </c>
      <c r="C51" s="70" t="s">
        <v>130</v>
      </c>
      <c r="D51" s="70" t="s">
        <v>169</v>
      </c>
      <c r="E51" s="75" t="s">
        <v>208</v>
      </c>
      <c r="F51" s="70">
        <v>20</v>
      </c>
      <c r="G51" s="98">
        <f>F51*$B$10</f>
        <v>20</v>
      </c>
      <c r="H51" s="70" t="s">
        <v>211</v>
      </c>
      <c r="I51" s="70" t="s">
        <v>250</v>
      </c>
      <c r="J51" s="86" t="s">
        <v>281</v>
      </c>
      <c r="K51" s="94">
        <f>F51*J51*$B$10</f>
        <v>3.1459999999999999</v>
      </c>
      <c r="L51" s="71" t="s">
        <v>303</v>
      </c>
      <c r="M51" s="73" t="str">
        <f t="shared" ref="M51:M52" si="18">HYPERLINK(L51,"Click here to go.")</f>
        <v>Click here to go.</v>
      </c>
      <c r="N51" s="70" t="s">
        <v>325</v>
      </c>
      <c r="O51" s="70" t="s">
        <v>90</v>
      </c>
      <c r="P51" s="70" t="s">
        <v>353</v>
      </c>
    </row>
    <row r="52" spans="1:17" s="77" customFormat="1" x14ac:dyDescent="0.2">
      <c r="A52" s="87"/>
      <c r="B52" s="87" t="s">
        <v>91</v>
      </c>
      <c r="C52" s="87" t="s">
        <v>91</v>
      </c>
      <c r="D52" s="87" t="s">
        <v>170</v>
      </c>
      <c r="E52" s="74" t="s">
        <v>209</v>
      </c>
      <c r="F52" s="69">
        <v>1</v>
      </c>
      <c r="G52" s="97">
        <f>F52*$B$10</f>
        <v>1</v>
      </c>
      <c r="H52" s="87"/>
      <c r="I52" s="87"/>
      <c r="J52" s="85"/>
      <c r="K52" s="93">
        <f>F52*J52*$B$10</f>
        <v>0</v>
      </c>
      <c r="L52" s="71" t="s">
        <v>283</v>
      </c>
      <c r="M52" s="73" t="str">
        <f>HYPERLINK(L52,"Click here to go.")</f>
        <v>Click here to go.</v>
      </c>
      <c r="N52" s="87" t="s">
        <v>326</v>
      </c>
      <c r="O52" s="87"/>
      <c r="P52" s="87" t="s">
        <v>355</v>
      </c>
    </row>
    <row r="53" spans="1:17" s="15" customFormat="1" ht="15" x14ac:dyDescent="0.2">
      <c r="A53" s="78"/>
      <c r="B53" s="79"/>
      <c r="C53" s="79"/>
      <c r="D53" s="80"/>
      <c r="E53" s="95"/>
      <c r="F53" s="82">
        <f>SUM(F14:F52)</f>
        <v>127</v>
      </c>
      <c r="G53" s="82">
        <f>SUM(G14:G52)</f>
        <v>127</v>
      </c>
      <c r="H53" s="80"/>
      <c r="J53" s="96" t="str">
        <f>"Total cost of components per PCB "&amp;B10&amp;" pcs."</f>
        <v>Total cost of components per PCB 1 pcs.</v>
      </c>
      <c r="K53" s="83">
        <f>SUM(K14:K52)</f>
        <v>11.023599999999998</v>
      </c>
      <c r="L53" s="84"/>
      <c r="M53" s="84"/>
      <c r="N53" s="80"/>
      <c r="O53" s="80"/>
      <c r="P53" s="81"/>
    </row>
    <row r="54" spans="1:17" customFormat="1" ht="13.7" customHeight="1" x14ac:dyDescent="0.2">
      <c r="A54" s="38" t="s">
        <v>0</v>
      </c>
      <c r="B54" s="29"/>
      <c r="C54" s="53" t="s">
        <v>1</v>
      </c>
      <c r="D54" s="29"/>
      <c r="E54" s="54"/>
      <c r="F54" s="27"/>
      <c r="G54" s="27"/>
      <c r="H54" s="54"/>
      <c r="I54" s="54"/>
      <c r="J54" s="54"/>
      <c r="K54" s="54"/>
      <c r="L54" s="54"/>
      <c r="M54" s="54"/>
      <c r="N54" s="54"/>
      <c r="O54" s="54"/>
      <c r="P54" s="62"/>
      <c r="Q54" s="27" t="s">
        <v>4</v>
      </c>
    </row>
    <row r="55" spans="1:17" customFormat="1" ht="12.95" customHeight="1" x14ac:dyDescent="0.2">
      <c r="A55" s="41"/>
      <c r="B55" s="42"/>
      <c r="C55" s="43"/>
      <c r="D55" s="42"/>
      <c r="E55" s="44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63"/>
      <c r="Q55" s="28"/>
    </row>
    <row r="56" spans="1:17" customFormat="1" ht="12.95" customHeight="1" x14ac:dyDescent="0.2">
      <c r="A56" s="39"/>
      <c r="B56" s="32"/>
      <c r="C56" s="33"/>
      <c r="D56" s="32"/>
      <c r="E56" s="34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64"/>
      <c r="Q56" s="28"/>
    </row>
    <row r="57" spans="1:17" customFormat="1" ht="12.95" customHeight="1" x14ac:dyDescent="0.2">
      <c r="A57" s="39"/>
      <c r="B57" s="32"/>
      <c r="C57" s="33"/>
      <c r="D57" s="32"/>
      <c r="E57" s="34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64"/>
      <c r="Q57" s="28"/>
    </row>
    <row r="58" spans="1:17" customFormat="1" ht="12.95" customHeight="1" x14ac:dyDescent="0.2">
      <c r="A58" s="39"/>
      <c r="B58" s="32"/>
      <c r="C58" s="33"/>
      <c r="D58" s="32"/>
      <c r="E58" s="34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64"/>
      <c r="Q58" s="28"/>
    </row>
    <row r="59" spans="1:17" customFormat="1" ht="9.75" customHeight="1" x14ac:dyDescent="0.2">
      <c r="A59" s="40"/>
      <c r="B59" s="45"/>
      <c r="C59" s="46"/>
      <c r="D59" s="45"/>
      <c r="E59" s="47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65"/>
      <c r="Q59" s="28"/>
    </row>
    <row r="60" spans="1:17" customFormat="1" ht="12.95" customHeight="1" x14ac:dyDescent="0.2">
      <c r="A60" s="40"/>
      <c r="B60" s="30"/>
      <c r="C60" s="30"/>
      <c r="D60" s="3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65"/>
      <c r="Q60" s="28"/>
    </row>
    <row r="61" spans="1:17" customFormat="1" ht="12.95" customHeight="1" x14ac:dyDescent="0.2">
      <c r="A61" s="16"/>
      <c r="B61" s="17"/>
      <c r="C61" s="17"/>
      <c r="D61" s="1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66"/>
      <c r="Q61" s="28"/>
    </row>
    <row r="62" spans="1:17" customFormat="1" ht="12.95" customHeight="1" x14ac:dyDescent="0.2">
      <c r="A62" s="19"/>
      <c r="B62" s="20"/>
      <c r="C62" s="20"/>
      <c r="D62" s="20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67"/>
      <c r="Q62" s="28"/>
    </row>
  </sheetData>
  <phoneticPr fontId="0" type="noConversion"/>
  <pageMargins left="0.46" right="0.36" top="0.57999999999999996" bottom="1" header="0.5" footer="0.5"/>
  <pageSetup paperSize="9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2.75" x14ac:dyDescent="0.2"/>
  <cols>
    <col min="1" max="1" width="30.28515625" style="14" customWidth="1"/>
    <col min="2" max="2" width="108.5703125" style="14" customWidth="1"/>
  </cols>
  <sheetData>
    <row r="1" spans="1:2" s="15" customFormat="1" ht="17.25" customHeight="1" x14ac:dyDescent="0.2">
      <c r="A1" s="89" t="s">
        <v>8</v>
      </c>
      <c r="B1" s="105" t="s">
        <v>356</v>
      </c>
    </row>
    <row r="2" spans="1:2" s="15" customFormat="1" ht="17.25" customHeight="1" x14ac:dyDescent="0.2">
      <c r="A2" s="90" t="s">
        <v>10</v>
      </c>
      <c r="B2" s="106" t="s">
        <v>33</v>
      </c>
    </row>
    <row r="3" spans="1:2" s="15" customFormat="1" ht="17.25" customHeight="1" x14ac:dyDescent="0.2">
      <c r="A3" s="91" t="s">
        <v>9</v>
      </c>
      <c r="B3" s="107" t="s">
        <v>34</v>
      </c>
    </row>
    <row r="4" spans="1:2" s="15" customFormat="1" ht="17.25" customHeight="1" x14ac:dyDescent="0.2">
      <c r="A4" s="90" t="s">
        <v>11</v>
      </c>
      <c r="B4" s="106" t="s">
        <v>33</v>
      </c>
    </row>
    <row r="5" spans="1:2" s="15" customFormat="1" ht="17.25" customHeight="1" x14ac:dyDescent="0.2">
      <c r="A5" s="91" t="s">
        <v>12</v>
      </c>
      <c r="B5" s="107" t="s">
        <v>356</v>
      </c>
    </row>
    <row r="6" spans="1:2" s="15" customFormat="1" ht="17.25" customHeight="1" x14ac:dyDescent="0.2">
      <c r="A6" s="90" t="s">
        <v>7</v>
      </c>
      <c r="B6" s="106" t="s">
        <v>32</v>
      </c>
    </row>
    <row r="7" spans="1:2" s="15" customFormat="1" ht="17.25" customHeight="1" x14ac:dyDescent="0.2">
      <c r="A7" s="91" t="s">
        <v>13</v>
      </c>
      <c r="B7" s="107" t="s">
        <v>357</v>
      </c>
    </row>
    <row r="8" spans="1:2" s="15" customFormat="1" ht="17.25" customHeight="1" x14ac:dyDescent="0.2">
      <c r="A8" s="90" t="s">
        <v>14</v>
      </c>
      <c r="B8" s="106" t="s">
        <v>36</v>
      </c>
    </row>
    <row r="9" spans="1:2" s="15" customFormat="1" ht="17.25" customHeight="1" x14ac:dyDescent="0.2">
      <c r="A9" s="91" t="s">
        <v>15</v>
      </c>
      <c r="B9" s="107" t="s">
        <v>35</v>
      </c>
    </row>
    <row r="10" spans="1:2" s="15" customFormat="1" ht="17.25" customHeight="1" x14ac:dyDescent="0.2">
      <c r="A10" s="90" t="s">
        <v>17</v>
      </c>
      <c r="B10" s="106" t="s">
        <v>358</v>
      </c>
    </row>
    <row r="11" spans="1:2" s="15" customFormat="1" ht="17.25" customHeight="1" x14ac:dyDescent="0.2">
      <c r="A11" s="91" t="s">
        <v>16</v>
      </c>
      <c r="B11" s="107" t="s">
        <v>359</v>
      </c>
    </row>
    <row r="12" spans="1:2" s="15" customFormat="1" ht="17.25" customHeight="1" x14ac:dyDescent="0.2">
      <c r="A12" s="90" t="s">
        <v>18</v>
      </c>
      <c r="B12" s="106" t="s">
        <v>360</v>
      </c>
    </row>
    <row r="13" spans="1:2" s="15" customFormat="1" ht="17.25" customHeight="1" x14ac:dyDescent="0.2">
      <c r="A13" s="91" t="s">
        <v>19</v>
      </c>
      <c r="B13" s="107" t="s">
        <v>361</v>
      </c>
    </row>
    <row r="14" spans="1:2" s="15" customFormat="1" ht="17.25" customHeight="1" x14ac:dyDescent="0.2">
      <c r="A14" s="90" t="s">
        <v>20</v>
      </c>
      <c r="B14" s="106" t="s">
        <v>22</v>
      </c>
    </row>
    <row r="15" spans="1:2" x14ac:dyDescent="0.2">
      <c r="A15" s="91" t="s">
        <v>29</v>
      </c>
      <c r="B15" s="107" t="s">
        <v>362</v>
      </c>
    </row>
    <row r="16" spans="1:2" ht="13.5" thickBot="1" x14ac:dyDescent="0.25">
      <c r="A16" s="92" t="s">
        <v>28</v>
      </c>
      <c r="B16" s="108" t="s">
        <v>363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Corporation</dc:creator>
  <cp:lastModifiedBy>Gena Chernov</cp:lastModifiedBy>
  <cp:lastPrinted>2002-11-05T13:50:54Z</cp:lastPrinted>
  <dcterms:created xsi:type="dcterms:W3CDTF">2000-10-27T00:30:29Z</dcterms:created>
  <dcterms:modified xsi:type="dcterms:W3CDTF">2025-11-01T08:14:54Z</dcterms:modified>
</cp:coreProperties>
</file>